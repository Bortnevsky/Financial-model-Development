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utbe\Desktop\МР\ФМ\"/>
    </mc:Choice>
  </mc:AlternateContent>
  <xr:revisionPtr revIDLastSave="0" documentId="13_ncr:1_{79917612-83BB-4677-A706-026BA1029761}" xr6:coauthVersionLast="47" xr6:coauthVersionMax="47" xr10:uidLastSave="{00000000-0000-0000-0000-000000000000}"/>
  <bookViews>
    <workbookView xWindow="-98" yWindow="-98" windowWidth="21795" windowHeight="12975" tabRatio="917" xr2:uid="{BACFE75C-7DB6-41C8-82E0-AD00D2AF82A0}"/>
  </bookViews>
  <sheets>
    <sheet name="Тек" sheetId="5" r:id="rId1"/>
    <sheet name="Этапы" sheetId="15" r:id="rId2"/>
    <sheet name="ИТ арх" sheetId="6" r:id="rId3"/>
    <sheet name="Структура" sheetId="4" r:id="rId4"/>
    <sheet name="Диз_Ф1" sheetId="35" r:id="rId5"/>
    <sheet name="Поток" sheetId="27" r:id="rId6"/>
    <sheet name="Роли" sheetId="14" r:id="rId7"/>
    <sheet name="Концепт" sheetId="13" r:id="rId8"/>
    <sheet name="ПФ" sheetId="34" r:id="rId9"/>
    <sheet name="Схема" sheetId="25" r:id="rId10"/>
    <sheet name="ГПок" sheetId="3" r:id="rId11"/>
    <sheet name="Показатели" sheetId="1" r:id="rId12"/>
    <sheet name="Справ" sheetId="8" r:id="rId13"/>
    <sheet name="ВидДеят" sheetId="12" r:id="rId14"/>
    <sheet name="ВидОН" sheetId="9" r:id="rId15"/>
    <sheet name="ВидСмрОН" sheetId="10" r:id="rId16"/>
    <sheet name="Участки" sheetId="23" r:id="rId17"/>
    <sheet name="Регион - Город" sheetId="31" r:id="rId18"/>
    <sheet name="РАСЧЕТЫ" sheetId="17" r:id="rId19"/>
    <sheet name="Норматив" sheetId="22" r:id="rId20"/>
    <sheet name="Ф0" sheetId="19" r:id="rId21"/>
    <sheet name="Ф0БК" sheetId="24" r:id="rId22"/>
    <sheet name="Ф1" sheetId="18" r:id="rId23"/>
    <sheet name="Ф1БК _Л" sheetId="28" r:id="rId24"/>
    <sheet name="Ф1БК" sheetId="21" r:id="rId25"/>
    <sheet name="Ф3" sheetId="30" r:id="rId26"/>
    <sheet name="Ф3БК 03" sheetId="29" r:id="rId27"/>
    <sheet name="Ф4" sheetId="32" r:id="rId28"/>
    <sheet name="Ф5" sheetId="36" r:id="rId29"/>
    <sheet name="Ф6" sheetId="33" r:id="rId30"/>
    <sheet name="Срав" sheetId="7" r:id="rId31"/>
    <sheet name="Контроль ИИ" sheetId="2" r:id="rId32"/>
  </sheets>
  <definedNames>
    <definedName name="____mal2" hidden="1">{"'KABA MALZEME'!$B$5:$G$101";"'KABA MALZEME'!$B$5:$G$101"}</definedName>
    <definedName name="___mal2" hidden="1">{"'KABA MALZEME'!$B$5:$G$101";"'KABA MALZEME'!$B$5:$G$101"}</definedName>
    <definedName name="__FDS_HYPERLINK_TOGGLE_STATE__" hidden="1">"ON"</definedName>
    <definedName name="__IntlFixup" localSheetId="28" hidden="1">ИСТИНА</definedName>
    <definedName name="__IntlFixup" hidden="1">ИСТИНА</definedName>
    <definedName name="__mal2" hidden="1">{"'KABA MALZEME'!$B$5:$G$101";"'KABA MALZEME'!$B$5:$G$101"}</definedName>
    <definedName name="__ZA36" hidden="1">{"'Appendix 3 Currency'!$A$1:$U$96"}</definedName>
    <definedName name="_mal2" hidden="1">{"'KABA MALZEME'!$B$5:$G$101";"'KABA MALZEME'!$B$5:$G$101"}</definedName>
    <definedName name="_old2" hidden="1">{"'Sheet1'!$A$1:$X$25"}</definedName>
    <definedName name="_Order1" hidden="1">255</definedName>
    <definedName name="_Order1_1" hidden="1">0</definedName>
    <definedName name="_order12" hidden="1">0</definedName>
    <definedName name="_Order2" hidden="1">255</definedName>
    <definedName name="_Regression_Int" hidden="1">1</definedName>
    <definedName name="AccessDatabase" hidden="1">"C:\My Documents\vlad\Var_2\can270398v2t05.mdb"</definedName>
    <definedName name="ahgfj" hidden="1">8</definedName>
    <definedName name="anscount" hidden="1">1</definedName>
    <definedName name="apr" hidden="1">{"'РП (2)'!$A$5:$S$150"}</definedName>
    <definedName name="aqer" hidden="1">{"'Sheet1'!$A$1:$G$85"}</definedName>
    <definedName name="aqer_1" hidden="1">{"'Sheet1'!$A$1:$G$85"}</definedName>
    <definedName name="aqer_1_1" hidden="1">{"'Sheet1'!$A$1:$G$85"}</definedName>
    <definedName name="aqer_2" hidden="1">{"'Sheet1'!$A$1:$G$85"}</definedName>
    <definedName name="aqer_3" hidden="1">{"'Sheet1'!$A$1:$G$85"}</definedName>
    <definedName name="aqer_4" hidden="1">{"'Sheet1'!$A$1:$G$85"}</definedName>
    <definedName name="AS2DocOpenMode" hidden="1">"AS2DocumentEdit"</definedName>
    <definedName name="AS2NamedRange" hidden="1">18</definedName>
    <definedName name="AS2ReportLS" hidden="1">1</definedName>
    <definedName name="AS2SyncStepLS" hidden="1">0</definedName>
    <definedName name="AS2VersionLS" hidden="1">300</definedName>
    <definedName name="asdfg" hidden="1">{"'РП (2)'!$A$5:$S$150"}</definedName>
    <definedName name="atrat" hidden="1">{"'Prices'!$A$4:$J$27"}</definedName>
    <definedName name="BG_Del" hidden="1">15</definedName>
    <definedName name="BG_Ins" hidden="1">4</definedName>
    <definedName name="BG_Mod" hidden="1">6</definedName>
    <definedName name="Control" hidden="1">{"'РП (2)'!$A$5:$S$150"}</definedName>
    <definedName name="CUSPassword" hidden="1">"MDL238GBWP678SDA16)E^CBC"</definedName>
    <definedName name="dfgdfhfv" hidden="1">1</definedName>
    <definedName name="dfghfg" hidden="1">{"'Sheet1'!$A$1:$G$85"}</definedName>
    <definedName name="dfghfg_1" hidden="1">{"'Sheet1'!$A$1:$G$85"}</definedName>
    <definedName name="dfghfg_1_1" hidden="1">{"'Sheet1'!$A$1:$G$85"}</definedName>
    <definedName name="dfghfg_2" hidden="1">{"'Sheet1'!$A$1:$G$85"}</definedName>
    <definedName name="dfghfg_3" hidden="1">{"'Sheet1'!$A$1:$G$85"}</definedName>
    <definedName name="dfghfg_4" hidden="1">{"'Sheet1'!$A$1:$G$85"}</definedName>
    <definedName name="DFLGFADJKHGF" hidden="1">26</definedName>
    <definedName name="eeeee" hidden="1">{"'Sheet1'!$A$1:$X$25"}</definedName>
    <definedName name="Ele" hidden="1">{"'Break down'!$A$4"}</definedName>
    <definedName name="fdgggg" hidden="1">"3RHIIYBU7DN3F5E7HSRIG7OTJ"</definedName>
    <definedName name="fg_1" hidden="1">{"'Sheet1'!$A$1:$G$85"}</definedName>
    <definedName name="fg_1_1" hidden="1">{"'Sheet1'!$A$1:$G$85"}</definedName>
    <definedName name="fg_2" hidden="1">{"'Sheet1'!$A$1:$G$85"}</definedName>
    <definedName name="FGHFHADBGDF" hidden="1">26</definedName>
    <definedName name="fjhgd" hidden="1">{"'Sheet1'!$A$1:$G$85"}</definedName>
    <definedName name="fjhgd_1" hidden="1">{"'Sheet1'!$A$1:$G$85"}</definedName>
    <definedName name="fjhgd_1_1" hidden="1">{"'Sheet1'!$A$1:$G$85"}</definedName>
    <definedName name="fjhgd_2" hidden="1">{"'Sheet1'!$A$1:$G$85"}</definedName>
    <definedName name="fjhgd_3" hidden="1">{"'Sheet1'!$A$1:$G$85"}</definedName>
    <definedName name="fjhgd_4" hidden="1">{"'Sheet1'!$A$1:$G$85"}</definedName>
    <definedName name="FJK" hidden="1">"3MXAD5LO7CKS15J6SZUAVPLRB"</definedName>
    <definedName name="gjgh" hidden="1">{"'Prices'!$A$4:$J$27"}</definedName>
    <definedName name="HAVUZ" hidden="1">{"'KABA MALZEME'!$B$5:$G$101";"'KABA MALZEME'!$B$5:$G$101"}</definedName>
    <definedName name="HTLM" hidden="1">{"'РП (2)'!$A$5:$S$150"}</definedName>
    <definedName name="HTLM_1" hidden="1">{"'РП (2)'!$A$5:$S$150"}</definedName>
    <definedName name="HTLM_1_1" hidden="1">{"'РП (2)'!$A$5:$S$150"}</definedName>
    <definedName name="HTLM_2" hidden="1">{"'РП (2)'!$A$5:$S$150"}</definedName>
    <definedName name="HTLM_3" hidden="1">{"'РП (2)'!$A$5:$S$150"}</definedName>
    <definedName name="HTLM_4" hidden="1">{"'РП (2)'!$A$5:$S$150"}</definedName>
    <definedName name="HTML_CodePage" hidden="1">9</definedName>
    <definedName name="HTML_Control" hidden="1">{"'Break down'!$A$4"}</definedName>
    <definedName name="HTML_Control_1" hidden="1">{"'РП (2)'!$A$5:$S$150"}</definedName>
    <definedName name="HTML_Control_1_1" hidden="1">{"'РП (2)'!$A$5:$S$150"}</definedName>
    <definedName name="HTML_Control_2" hidden="1">{"'РП (2)'!$A$5:$S$150"}</definedName>
    <definedName name="HTML_Control_3" hidden="1">{"'РП (2)'!$A$5:$S$150"}</definedName>
    <definedName name="HTML_Control_4" hidden="1">{"'РП (2)'!$A$5:$S$150"}</definedName>
    <definedName name="HTML_Control1" hidden="1">{"'Sheet1'!$A$1:$X$25"}</definedName>
    <definedName name="HTML_Description" hidden="1">""</definedName>
    <definedName name="HTML_Email" hidden="1">""</definedName>
    <definedName name="HTML_Header" hidden="1">"Break down"</definedName>
    <definedName name="HTML_LastUpdate" hidden="1">"6/7/98"</definedName>
    <definedName name="HTML_LineAfter" localSheetId="28" hidden="1">ЛОЖЬ</definedName>
    <definedName name="HTML_LineAfter" hidden="1">ЛОЖЬ</definedName>
    <definedName name="HTML_LineBefore" localSheetId="28" hidden="1">ЛОЖЬ</definedName>
    <definedName name="HTML_LineBefore" hidden="1">ЛОЖЬ</definedName>
    <definedName name="HTML_Name" hidden="1">"PAUL MATHEW"</definedName>
    <definedName name="HTML_OBDlg2" localSheetId="28" hidden="1">ИСТИНА</definedName>
    <definedName name="HTML_OBDlg2" hidden="1">ИСТИНА</definedName>
    <definedName name="HTML_OBDlg4" localSheetId="28" hidden="1">ИСТИНА</definedName>
    <definedName name="HTML_OBDlg4" hidden="1">ИСТИНА</definedName>
    <definedName name="HTML_OS" hidden="1">0</definedName>
    <definedName name="HTML_PathFile" hidden="1">"C:\WINDOWS\MSAPPS\MyHTML.htm"</definedName>
    <definedName name="HTML_PathFileMac" hidden="1">"Macintosh HD:HomePageStuff:New_Home_Page:datafile:histret.html"</definedName>
    <definedName name="HTML_Title" hidden="1">"Break_down"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" hidden="1">{"'Prices'!$A$4:$J$27"}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iCMAL" hidden="1">{"'KABA MALZEME'!$B$5:$G$101";"'KABA MALZEME'!$B$5:$G$101"}</definedName>
    <definedName name="İIPŞYK" hidden="1">{"'Cash Requirements 5F '!$A$1:$AC$48"}</definedName>
    <definedName name="IQ_ADDIN" hidden="1">"AUTO"</definedName>
    <definedName name="kBNT" hidden="1">{"'РП (2)'!$A$5:$S$150"}</definedName>
    <definedName name="kBNT_1" hidden="1">{"'РП (2)'!$A$5:$S$150"}</definedName>
    <definedName name="kBNT_1_1" hidden="1">{"'РП (2)'!$A$5:$S$150"}</definedName>
    <definedName name="kBNT_2" hidden="1">{"'РП (2)'!$A$5:$S$150"}</definedName>
    <definedName name="kBNT_3" hidden="1">{"'РП (2)'!$A$5:$S$150"}</definedName>
    <definedName name="kBNT_4" hidden="1">{"'РП (2)'!$A$5:$S$150"}</definedName>
    <definedName name="kyd.Dim.01." hidden="1">"currency"</definedName>
    <definedName name="kyd.Dim.02." hidden="1">"currency"</definedName>
    <definedName name="kyd.ElementType.01." hidden="1">3</definedName>
    <definedName name="kyd.ElementType.02." hidden="1">3</definedName>
    <definedName name="kyd.MemoSortHide." localSheetId="28" hidden="1">ЛОЖЬ</definedName>
    <definedName name="kyd.MemoSortHide." hidden="1">ЛОЖЬ</definedName>
    <definedName name="kyd.NumLevels.01." hidden="1">999</definedName>
    <definedName name="kyd.NumLevels.02." hidden="1">999</definedName>
    <definedName name="kyd.ParentName.01." hidden="1">"AUD"</definedName>
    <definedName name="kyd.ParentName.02." hidden="1">"AUD"</definedName>
    <definedName name="kyd.PreScreenData." localSheetId="28" hidden="1">ЛОЖЬ</definedName>
    <definedName name="kyd.PreScreenData." hidden="1">ЛОЖЬ</definedName>
    <definedName name="kyd.PrintMemo." localSheetId="28" hidden="1">ЛОЖЬ</definedName>
    <definedName name="kyd.PrintMemo." hidden="1">ЛОЖЬ</definedName>
    <definedName name="kyd.PrintParent.01." localSheetId="28" hidden="1">ИСТИНА</definedName>
    <definedName name="kyd.PrintParent.01." hidden="1">ИСТИНА</definedName>
    <definedName name="kyd.PrintParent.02." localSheetId="28" hidden="1">ИСТИНА</definedName>
    <definedName name="kyd.PrintParent.02." hidden="1">ИСТИНА</definedName>
    <definedName name="kyd.PrintStdWhen." hidden="1">3</definedName>
    <definedName name="kyd.SaveAsFile." localSheetId="28" hidden="1">ЛОЖЬ</definedName>
    <definedName name="kyd.SaveAsFile." hidden="1">ЛОЖЬ</definedName>
    <definedName name="kyd.SaveMemo." localSheetId="28" hidden="1">ЛОЖЬ</definedName>
    <definedName name="kyd.SaveMemo." hidden="1">ЛОЖЬ</definedName>
    <definedName name="kyd.SelectString.01." hidden="1">"*"</definedName>
    <definedName name="kyd.SelectString.02." hidden="1">"*"</definedName>
    <definedName name="kyd.StdSortHide." localSheetId="28" hidden="1">ЛОЖЬ</definedName>
    <definedName name="kyd.StdSortHide." hidden="1">ЛОЖЬ</definedName>
    <definedName name="kyd.StopRow." hidden="1">16384</definedName>
    <definedName name="kyd.WriteMemWhenOptn." hidden="1">3</definedName>
    <definedName name="limcount" hidden="1">1</definedName>
    <definedName name="MCL_sheet_inc" hidden="1">{"'Sheet1'!$A$1:$X$25"}</definedName>
    <definedName name="nfjbhfjjkf" hidden="1">"EBP"</definedName>
    <definedName name="nrnr1" hidden="1">{"'KABA MALZEME'!$B$5:$G$101";"'KABA MALZEME'!$B$5:$G$101"}</definedName>
    <definedName name="nrnr2" hidden="1">{"'KABA MALZEME'!$B$5:$G$101";"'KABA MALZEME'!$B$5:$G$101"}</definedName>
    <definedName name="nrnr6" hidden="1">{"'KABA MALZEME'!$B$5:$G$101";"'KABA MALZEME'!$B$5:$G$101"}</definedName>
    <definedName name="pln" hidden="1">{"'РП (2)'!$A$5:$S$150"}</definedName>
    <definedName name="ptvkz" hidden="1">{"'Sheet1'!$A$1:$G$85"}</definedName>
    <definedName name="ptvkz_1" hidden="1">{"'Sheet1'!$A$1:$G$85"}</definedName>
    <definedName name="ptvkz_1_1" hidden="1">{"'Sheet1'!$A$1:$G$85"}</definedName>
    <definedName name="ptvkz_2" hidden="1">{"'Sheet1'!$A$1:$G$85"}</definedName>
    <definedName name="ptvkz_3" hidden="1">{"'Sheet1'!$A$1:$G$85"}</definedName>
    <definedName name="ptvkz_4" hidden="1">{"'Sheet1'!$A$1:$G$85"}</definedName>
    <definedName name="PUB_UserID" hidden="1">"MAYERX"</definedName>
    <definedName name="qwerty" hidden="1">{"'РП (2)'!$A$5:$S$150"}</definedName>
    <definedName name="rere" hidden="1">{"'Sheet1'!$A$1:$G$85"}</definedName>
    <definedName name="rere_1" hidden="1">{"'Sheet1'!$A$1:$G$85"}</definedName>
    <definedName name="rere_1_1" hidden="1">{"'Sheet1'!$A$1:$G$85"}</definedName>
    <definedName name="rere_2" hidden="1">{"'Sheet1'!$A$1:$G$85"}</definedName>
    <definedName name="rere_3" hidden="1">{"'Sheet1'!$A$1:$G$85"}</definedName>
    <definedName name="rere_4" hidden="1">{"'Sheet1'!$A$1:$G$85"}</definedName>
    <definedName name="rjgbz" hidden="1">{"'РП (2)'!$A$5:$S$150"}</definedName>
    <definedName name="SAPBEXrevision" hidden="1">1</definedName>
    <definedName name="SAPBEXsysID" hidden="1">"EBP"</definedName>
    <definedName name="SAPBEXwbID" hidden="1">"3O14ODX58ZFWHBA9GZVFUX4YV"</definedName>
    <definedName name="Scaffolding" hidden="1">{"'Break down'!$A$4"}</definedName>
    <definedName name="sdfh" hidden="1">{"'Sheet1'!$A$1:$G$85"}</definedName>
    <definedName name="sdfh_1" hidden="1">{"'Sheet1'!$A$1:$G$85"}</definedName>
    <definedName name="sdfh_1_1" hidden="1">{"'Sheet1'!$A$1:$G$85"}</definedName>
    <definedName name="sdfh_2" hidden="1">{"'Sheet1'!$A$1:$G$85"}</definedName>
    <definedName name="sdfh_3" hidden="1">{"'Sheet1'!$A$1:$G$85"}</definedName>
    <definedName name="sdfh_4" hidden="1">{"'Sheet1'!$A$1:$G$85"}</definedName>
    <definedName name="sencount" hidden="1">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rel1" hidden="1">3</definedName>
    <definedName name="solver_rel10" hidden="1">2</definedName>
    <definedName name="solver_rel11" hidden="1">2</definedName>
    <definedName name="solver_rel2" hidden="1">3</definedName>
    <definedName name="solver_rel3" hidden="1">3</definedName>
    <definedName name="solver_rel4" hidden="1">3</definedName>
    <definedName name="solver_rel5" hidden="1">2</definedName>
    <definedName name="solver_rel6" hidden="1">2</definedName>
    <definedName name="solver_rel7" hidden="1">2</definedName>
    <definedName name="solver_rel8" hidden="1">2</definedName>
    <definedName name="solver_rel9" hidden="1">2</definedName>
    <definedName name="solver_rhs1" hidden="1">0</definedName>
    <definedName name="solver_rhs10" hidden="1">315430</definedName>
    <definedName name="solver_rhs11" hidden="1">284920</definedName>
    <definedName name="solver_rhs3" hidden="1">0</definedName>
    <definedName name="solver_rhs4" hidden="1">0</definedName>
    <definedName name="solver_rhs5" hidden="1">0</definedName>
    <definedName name="solver_scl" hidden="1">2</definedName>
    <definedName name="solver_sho" hidden="1">2</definedName>
    <definedName name="solver_tim" hidden="1">100</definedName>
    <definedName name="solver_typ" hidden="1">3</definedName>
    <definedName name="solver_val" hidden="1">22000000000</definedName>
    <definedName name="sss" hidden="1">{"'РП (2)'!$A$5:$S$150"}</definedName>
    <definedName name="temp" hidden="1">{"'Break down'!$A$4"}</definedName>
    <definedName name="TextRefCopyRangeCount" hidden="1">4</definedName>
    <definedName name="tmp" hidden="1">{"'Break down'!$A$4"}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wwww" hidden="1">{"'Sheet1'!$A$1:$X$25"}</definedName>
    <definedName name="xls." hidden="1">{"'Break down'!$A$4"}</definedName>
    <definedName name="XRefColumnsCount" hidden="1">1</definedName>
    <definedName name="XRefCopyRangeCount" hidden="1">1</definedName>
    <definedName name="XRefPasteRangeCount" hidden="1">1</definedName>
    <definedName name="а" hidden="1">{"'РП (2)'!$A$5:$S$150"}</definedName>
    <definedName name="ааааа" hidden="1">{"'РП (2)'!$A$5:$S$150"}</definedName>
    <definedName name="ааааа_1" hidden="1">{"'РП (2)'!$A$5:$S$150"}</definedName>
    <definedName name="ааааа_1_1" hidden="1">{"'РП (2)'!$A$5:$S$150"}</definedName>
    <definedName name="ааааа_2" hidden="1">{"'РП (2)'!$A$5:$S$150"}</definedName>
    <definedName name="ааааа_3" hidden="1">{"'РП (2)'!$A$5:$S$150"}</definedName>
    <definedName name="ааааа_4" hidden="1">{"'РП (2)'!$A$5:$S$150"}</definedName>
    <definedName name="ааааааа" hidden="1">{"'Sheet1'!$A$1:$G$85"}</definedName>
    <definedName name="ааааааа_1" hidden="1">{"'Sheet1'!$A$1:$G$85"}</definedName>
    <definedName name="ааааааа_2" hidden="1">{"'Sheet1'!$A$1:$G$85"}</definedName>
    <definedName name="ааааааа_3" hidden="1">{"'Sheet1'!$A$1:$G$85"}</definedName>
    <definedName name="ааааааа_4" hidden="1">{"'Sheet1'!$A$1:$G$85"}</definedName>
    <definedName name="ааааааааа" hidden="1">{"'Sheet1'!$A$1:$G$85"}</definedName>
    <definedName name="аааааааааааааааааааааа" hidden="1">{"'РП (2)'!$A$5:$S$150"}</definedName>
    <definedName name="аааааааааааааааввввввввввввв" hidden="1">{"'РП (2)'!$A$5:$S$150"}</definedName>
    <definedName name="абакан" hidden="1">{"'РП (2)'!$A$5:$S$150"}</definedName>
    <definedName name="аж" hidden="1">{"'РП (2)'!$A$5:$S$150"}</definedName>
    <definedName name="алормж" hidden="1">{"'РП (2)'!$A$5:$S$150"}</definedName>
    <definedName name="ан" hidden="1">{"'РП (2)'!$A$5:$S$150"}</definedName>
    <definedName name="ап" hidden="1">{"'РП (2)'!$A$5:$S$150"}</definedName>
    <definedName name="апппппппппппп" hidden="1">{"'Sheet1'!$A$1:$G$85"}</definedName>
    <definedName name="апрель_" hidden="1">{"'РП (2)'!$A$5:$S$150"}</definedName>
    <definedName name="ар" hidden="1">{"'РП (2)'!$A$5:$S$150"}</definedName>
    <definedName name="арарарарра" hidden="1">{"'РП (2)'!$A$5:$S$150"}</definedName>
    <definedName name="арложлд" hidden="1">{"'РП (2)'!$A$5:$S$150"}</definedName>
    <definedName name="арыщдр" hidden="1">{"'РП (2)'!$A$5:$S$150"}</definedName>
    <definedName name="аыи" hidden="1">{"'Prices'!$A$4:$J$27"}</definedName>
    <definedName name="бб" hidden="1">{"'РП (2)'!$A$5:$S$150"}</definedName>
    <definedName name="бббб" hidden="1">{"'РП (2)'!$A$5:$S$150"}</definedName>
    <definedName name="ббббб" hidden="1">{"'РП (2)'!$A$5:$S$150"}</definedName>
    <definedName name="бббббб" hidden="1">{"'РП (2)'!$A$5:$S$150"}</definedName>
    <definedName name="бббббббб" hidden="1">{"'РП (2)'!$A$5:$S$150"}</definedName>
    <definedName name="ббббббббббббб" hidden="1">{"'РП (2)'!$A$5:$S$150"}</definedName>
    <definedName name="ббббббббббббббб" hidden="1">{"'РП (2)'!$A$5:$S$150"}</definedName>
    <definedName name="ббббббббббббббббббб" hidden="1">{"'РП (2)'!$A$5:$S$150"}</definedName>
    <definedName name="бббббббююю" hidden="1">{"'РП (2)'!$A$5:$S$150"}</definedName>
    <definedName name="бдр" hidden="1">{"'РП (2)'!$A$5:$S$150"}</definedName>
    <definedName name="бдр_1" hidden="1">{"'РП (2)'!$A$5:$S$150"}</definedName>
    <definedName name="бдр_1_1" hidden="1">{"'РП (2)'!$A$5:$S$150"}</definedName>
    <definedName name="бдр_2" hidden="1">{"'РП (2)'!$A$5:$S$150"}</definedName>
    <definedName name="бдр_3" hidden="1">{"'РП (2)'!$A$5:$S$150"}</definedName>
    <definedName name="бдр_4" hidden="1">{"'РП (2)'!$A$5:$S$150"}</definedName>
    <definedName name="бер" hidden="1">{"'РП (2)'!$A$5:$S$150"}</definedName>
    <definedName name="береза" hidden="1">{"'РП (2)'!$A$5:$S$150"}</definedName>
    <definedName name="Бор" hidden="1">{"'РП (2)'!$A$5:$S$150"}</definedName>
    <definedName name="Бородино" hidden="1">{"'РП (2)'!$A$5:$S$150"}</definedName>
    <definedName name="БТ" hidden="1">{"'РП (2)'!$A$5:$S$150"}</definedName>
    <definedName name="бю." hidden="1">{"'РП (2)'!$A$5:$S$150"}</definedName>
    <definedName name="бюджет" hidden="1">{"'РП (2)'!$A$5:$S$150"}</definedName>
    <definedName name="бюджет_1" hidden="1">{"'РП (2)'!$A$5:$S$150"}</definedName>
    <definedName name="бюджет_1_1" hidden="1">{"'РП (2)'!$A$5:$S$150"}</definedName>
    <definedName name="бюджет_2" hidden="1">{"'РП (2)'!$A$5:$S$150"}</definedName>
    <definedName name="бюджет_3" hidden="1">{"'РП (2)'!$A$5:$S$150"}</definedName>
    <definedName name="бюджет_4" hidden="1">{"'РП (2)'!$A$5:$S$150"}</definedName>
    <definedName name="Бюджет1" hidden="1">{"'РП (2)'!$A$5:$S$150"}</definedName>
    <definedName name="Бюджет2" hidden="1">{"'РП (2)'!$A$5:$S$150"}</definedName>
    <definedName name="бюджетик" hidden="1">{"'РП (2)'!$A$5:$S$150"}</definedName>
    <definedName name="вадло" hidden="1">{"'РП (2)'!$A$5:$S$150"}</definedName>
    <definedName name="валор" hidden="1">{"'Sheet1'!$A$1:$G$85"}</definedName>
    <definedName name="валор_1" hidden="1">{"'Sheet1'!$A$1:$G$85"}</definedName>
    <definedName name="валор_1_1" hidden="1">{"'Sheet1'!$A$1:$G$85"}</definedName>
    <definedName name="валор_2" hidden="1">{"'Sheet1'!$A$1:$G$85"}</definedName>
    <definedName name="валор_3" hidden="1">{"'Sheet1'!$A$1:$G$85"}</definedName>
    <definedName name="валор_4" hidden="1">{"'Sheet1'!$A$1:$G$85"}</definedName>
    <definedName name="вапроп" hidden="1">{"'Sheet1'!$A$1:$G$85"}</definedName>
    <definedName name="вапроп_1" hidden="1">{"'Sheet1'!$A$1:$G$85"}</definedName>
    <definedName name="вапроп_1_1" hidden="1">{"'Sheet1'!$A$1:$G$85"}</definedName>
    <definedName name="вапроп_2" hidden="1">{"'Sheet1'!$A$1:$G$85"}</definedName>
    <definedName name="вапроп_3" hidden="1">{"'Sheet1'!$A$1:$G$85"}</definedName>
    <definedName name="вапроп_4" hidden="1">{"'Sheet1'!$A$1:$G$85"}</definedName>
    <definedName name="Вариант3" hidden="1">{"'РП (2)'!$A$5:$S$150"}</definedName>
    <definedName name="ваф" hidden="1">{"'РП (2)'!$A$5:$S$150"}</definedName>
    <definedName name="ваф_1" hidden="1">{"'РП (2)'!$A$5:$S$150"}</definedName>
    <definedName name="ваф_1_1" hidden="1">{"'РП (2)'!$A$5:$S$150"}</definedName>
    <definedName name="ваф_2" hidden="1">{"'РП (2)'!$A$5:$S$150"}</definedName>
    <definedName name="ваф_3" hidden="1">{"'РП (2)'!$A$5:$S$150"}</definedName>
    <definedName name="ваф_4" hidden="1">{"'РП (2)'!$A$5:$S$150"}</definedName>
    <definedName name="ввввввввввввв" hidden="1">{"'Sheet1'!$A$1:$G$85"}</definedName>
    <definedName name="вввввввввввввввввввв" hidden="1">{"'РП (2)'!$A$5:$S$150"}</definedName>
    <definedName name="вера" hidden="1">{"'РП (2)'!$A$5:$S$150"}</definedName>
    <definedName name="г" hidden="1">{"'РП (2)'!$A$5:$S$150"}</definedName>
    <definedName name="гггг" hidden="1">{"'РП (2)'!$A$5:$S$150"}</definedName>
    <definedName name="гггггггггггггггг" hidden="1">{"'РП (2)'!$A$5:$S$150"}</definedName>
    <definedName name="ГМНУ" hidden="1">{"'РП (2)'!$A$5:$S$150"}</definedName>
    <definedName name="го" hidden="1">{"'РП (2)'!$A$5:$S$150"}</definedName>
    <definedName name="дд" hidden="1">{"'РП (2)'!$A$5:$S$150"}</definedName>
    <definedName name="ддд" hidden="1">{"'РП (2)'!$A$5:$S$150"}</definedName>
    <definedName name="ддддд" hidden="1">{"'РП (2)'!$A$5:$S$150"}</definedName>
    <definedName name="дддддд" hidden="1">{"'РП (2)'!$A$5:$S$150"}</definedName>
    <definedName name="дддддддддд" hidden="1">{"'РП (2)'!$A$5:$S$150"}</definedName>
    <definedName name="дло" hidden="1">{"'РП (2)'!$A$5:$S$150"}</definedName>
    <definedName name="длошсмидш" hidden="1">{"'РП (2)'!$A$5:$S$150"}</definedName>
    <definedName name="длэз" hidden="1">{"'РП (2)'!$A$5:$S$150"}</definedName>
    <definedName name="дрлж" hidden="1">{"'РП (2)'!$A$5:$S$150"}</definedName>
    <definedName name="е" hidden="1">{"'РП (2)'!$A$5:$S$150"}</definedName>
    <definedName name="ее" hidden="1">{"'РП (2)'!$A$5:$S$150"}</definedName>
    <definedName name="ееееееееееееееее" hidden="1">{"'РП (2)'!$A$5:$S$150"}</definedName>
    <definedName name="ек" hidden="1">{"'РП (2)'!$A$5:$S$150"}</definedName>
    <definedName name="екн" hidden="1">{"'РП (2)'!$A$5:$S$150"}</definedName>
    <definedName name="енгг" hidden="1">{"'Sheet1'!$A$1:$G$85"}</definedName>
    <definedName name="енгг_1" hidden="1">{"'Sheet1'!$A$1:$G$85"}</definedName>
    <definedName name="енгг_2" hidden="1">{"'Sheet1'!$A$1:$G$85"}</definedName>
    <definedName name="енгг_3" hidden="1">{"'Sheet1'!$A$1:$G$85"}</definedName>
    <definedName name="енгг_4" hidden="1">{"'Sheet1'!$A$1:$G$85"}</definedName>
    <definedName name="енрнро" hidden="1">{"'Prices'!$A$4:$J$27"}</definedName>
    <definedName name="еркер" hidden="1">{"'Prices'!$A$4:$J$27"}</definedName>
    <definedName name="ж\" hidden="1">{"'Prices'!$A$4:$J$27"}</definedName>
    <definedName name="жд" hidden="1">{"'РП (2)'!$A$5:$S$150"}</definedName>
    <definedName name="жж" hidden="1">{"'РП (2)'!$A$5:$S$150"}</definedName>
    <definedName name="жжжжж" hidden="1">{"'РП (2)'!$A$5:$S$150"}</definedName>
    <definedName name="жжжжз" hidden="1">{"'РП (2)'!$A$5:$S$150"}</definedName>
    <definedName name="жэзщшгн" hidden="1">{"'РП (2)'!$A$5:$S$150"}</definedName>
    <definedName name="здздздзд" hidden="1">{"'РП (2)'!$A$5:$S$150"}</definedName>
    <definedName name="зззз" hidden="1">{"'РП (2)'!$A$5:$S$150"}</definedName>
    <definedName name="ззззззззззззз" hidden="1">{"'РП (2)'!$A$5:$S$150"}</definedName>
    <definedName name="ззззш" hidden="1">{"'РП (2)'!$A$5:$S$150"}</definedName>
    <definedName name="ззщзззщзщ" hidden="1">{"'РП (2)'!$A$5:$S$150"}</definedName>
    <definedName name="зш" hidden="1">{"'РП (2)'!$A$5:$S$150"}</definedName>
    <definedName name="зщш" hidden="1">{"'РП (2)'!$A$5:$S$150"}</definedName>
    <definedName name="зщщщ" hidden="1">{"'РП (2)'!$A$5:$S$150"}</definedName>
    <definedName name="ииии" hidden="1">{"'РП (2)'!$A$5:$S$150"}</definedName>
    <definedName name="иииииииииииииииииииии" hidden="1">{"'РП (2)'!$A$5:$S$150"}</definedName>
    <definedName name="иииииииииимммммммммм" hidden="1">{"'РП (2)'!$A$5:$S$150"}</definedName>
    <definedName name="иииитт" hidden="1">{"'РП (2)'!$A$5:$S$150"}</definedName>
    <definedName name="ииимм" hidden="1">{"'РП (2)'!$A$5:$S$150"}</definedName>
    <definedName name="Исполнение" hidden="1">{"'РП (2)'!$A$5:$S$150"}</definedName>
    <definedName name="ить" hidden="1">{"'РП (2)'!$A$5:$S$150"}</definedName>
    <definedName name="июль3" hidden="1">{"'РП (2)'!$A$5:$S$150"}</definedName>
    <definedName name="й" hidden="1">{"'РП (2)'!$A$5:$S$150"}</definedName>
    <definedName name="ййййй" hidden="1">{"'РП (2)'!$A$5:$S$150"}</definedName>
    <definedName name="ййййййй" hidden="1">{"'РП (2)'!$A$5:$S$150"}</definedName>
    <definedName name="ййййййййййййй" hidden="1">{"'РП (2)'!$A$5:$S$150"}</definedName>
    <definedName name="йцу" hidden="1">{"'Sheet1'!$A$1:$G$85"}</definedName>
    <definedName name="йцу_1" hidden="1">{"'Sheet1'!$A$1:$G$85"}</definedName>
    <definedName name="йцу_2" hidden="1">{"'Sheet1'!$A$1:$G$85"}</definedName>
    <definedName name="йцу_3" hidden="1">{"'Sheet1'!$A$1:$G$85"}</definedName>
    <definedName name="йцу_4" hidden="1">{"'Sheet1'!$A$1:$G$85"}</definedName>
    <definedName name="кгнн" hidden="1">{"'Sheet1'!$A$1:$G$85"}</definedName>
    <definedName name="кгнн_1" hidden="1">{"'Sheet1'!$A$1:$G$85"}</definedName>
    <definedName name="кгнн_2" hidden="1">{"'Sheet1'!$A$1:$G$85"}</definedName>
    <definedName name="кгнн_3" hidden="1">{"'Sheet1'!$A$1:$G$85"}</definedName>
    <definedName name="кгнн_4" hidden="1">{"'Sheet1'!$A$1:$G$85"}</definedName>
    <definedName name="керкер" hidden="1">{"'Prices'!$A$4:$J$27"}</definedName>
    <definedName name="кк" hidden="1">{"'РП (2)'!$A$5:$S$150"}</definedName>
    <definedName name="ккккк" hidden="1">{"'РП (2)'!$A$5:$S$150"}</definedName>
    <definedName name="кккккккккккк" hidden="1">{"'РП (2)'!$A$5:$S$150"}</definedName>
    <definedName name="ко" hidden="1">{"'РП (2)'!$A$5:$S$150"}</definedName>
    <definedName name="козёл" hidden="1">{"'РП (2)'!$A$5:$S$150"}</definedName>
    <definedName name="конф" hidden="1">{"'РП (2)'!$A$5:$S$150"}</definedName>
    <definedName name="конф_1" hidden="1">{"'РП (2)'!$A$5:$S$150"}</definedName>
    <definedName name="конф_1_1" hidden="1">{"'РП (2)'!$A$5:$S$150"}</definedName>
    <definedName name="конф_2" hidden="1">{"'РП (2)'!$A$5:$S$150"}</definedName>
    <definedName name="конф_3" hidden="1">{"'РП (2)'!$A$5:$S$150"}</definedName>
    <definedName name="конф_4" hidden="1">{"'РП (2)'!$A$5:$S$150"}</definedName>
    <definedName name="копия" hidden="1">{"'РП (2)'!$A$5:$S$150"}</definedName>
    <definedName name="КРАСНОЯРСК" hidden="1">{"'РП (2)'!$A$5:$S$150"}</definedName>
    <definedName name="КРАСНОЯРСК_1" hidden="1">{"'РП (2)'!$A$5:$S$150"}</definedName>
    <definedName name="КРАСНОЯРСК_1_1" hidden="1">{"'РП (2)'!$A$5:$S$150"}</definedName>
    <definedName name="КРАСНОЯРСК_2" hidden="1">{"'РП (2)'!$A$5:$S$150"}</definedName>
    <definedName name="КРАСНОЯРСК_3" hidden="1">{"'РП (2)'!$A$5:$S$150"}</definedName>
    <definedName name="КРАСНОЯРСК_4" hidden="1">{"'РП (2)'!$A$5:$S$150"}</definedName>
    <definedName name="лб" hidden="1">{"'РП (2)'!$A$5:$S$150"}</definedName>
    <definedName name="лдж" hidden="1">{"'РП (2)'!$A$5:$S$150"}</definedName>
    <definedName name="лена" hidden="1">{"'РП (2)'!$A$5:$S$150"}</definedName>
    <definedName name="ленинград" hidden="1">{"'РП (2)'!$A$5:$S$150"}</definedName>
    <definedName name="ленинск" hidden="1">{"'РП (2)'!$A$5:$S$150"}</definedName>
    <definedName name="ллллллллллллллллллллллл" hidden="1">{"'РП (2)'!$A$5:$S$150"}</definedName>
    <definedName name="ллллт" hidden="1">{"'РП (2)'!$A$5:$S$150"}</definedName>
    <definedName name="лн" hidden="1">{"'РП (2)'!$A$5:$S$150"}</definedName>
    <definedName name="ло" hidden="1">{"'РП (2)'!$A$5:$S$150"}</definedName>
    <definedName name="лол" hidden="1">{"'РП (2)'!$A$5:$S$150"}</definedName>
    <definedName name="лор" hidden="1">{"'РП (2)'!$A$5:$S$150"}</definedName>
    <definedName name="лпрап" hidden="1">{"'Sheet1'!$A$1:$G$85"}</definedName>
    <definedName name="лпрап_1" hidden="1">{"'Sheet1'!$A$1:$G$85"}</definedName>
    <definedName name="лпрап_1_1" hidden="1">{"'Sheet1'!$A$1:$G$85"}</definedName>
    <definedName name="лпрап_2" hidden="1">{"'Sheet1'!$A$1:$G$85"}</definedName>
    <definedName name="лпрап_3" hidden="1">{"'Sheet1'!$A$1:$G$85"}</definedName>
    <definedName name="лпрап_4" hidden="1">{"'Sheet1'!$A$1:$G$85"}</definedName>
    <definedName name="лр" hidden="1">{"'РП (2)'!$A$5:$S$150"}</definedName>
    <definedName name="лрпро" hidden="1">{"'Sheet1'!$A$1:$G$85"}</definedName>
    <definedName name="лрпро_1" hidden="1">{"'Sheet1'!$A$1:$G$85"}</definedName>
    <definedName name="лрпро_1_1" hidden="1">{"'Sheet1'!$A$1:$G$85"}</definedName>
    <definedName name="лрпро_2" hidden="1">{"'Sheet1'!$A$1:$G$85"}</definedName>
    <definedName name="лрпро_3" hidden="1">{"'Sheet1'!$A$1:$G$85"}</definedName>
    <definedName name="лрпро_4" hidden="1">{"'Sheet1'!$A$1:$G$85"}</definedName>
    <definedName name="мапор" hidden="1">{"'Sheet1'!$A$1:$G$85"}</definedName>
    <definedName name="мапор_1" hidden="1">{"'Sheet1'!$A$1:$G$85"}</definedName>
    <definedName name="мапор_1_1" hidden="1">{"'Sheet1'!$A$1:$G$85"}</definedName>
    <definedName name="мапор_2" hidden="1">{"'Sheet1'!$A$1:$G$85"}</definedName>
    <definedName name="мапор_3" hidden="1">{"'Sheet1'!$A$1:$G$85"}</definedName>
    <definedName name="мапор_4" hidden="1">{"'Sheet1'!$A$1:$G$85"}</definedName>
    <definedName name="мм" hidden="1">{"'РП (2)'!$A$5:$S$150"}</definedName>
    <definedName name="мммм" hidden="1">{"'РП (2)'!$A$5:$S$150"}</definedName>
    <definedName name="мммммммм" hidden="1">{"'РП (2)'!$A$5:$S$150"}</definedName>
    <definedName name="мммммммм_1" hidden="1">{"'РП (2)'!$A$5:$S$150"}</definedName>
    <definedName name="мммммммм_2" hidden="1">{"'РП (2)'!$A$5:$S$150"}</definedName>
    <definedName name="мммммммм_3" hidden="1">{"'РП (2)'!$A$5:$S$150"}</definedName>
    <definedName name="мммммммм_4" hidden="1">{"'РП (2)'!$A$5:$S$150"}</definedName>
    <definedName name="мммммммммммммммммммм" hidden="1">{"'РП (2)'!$A$5:$S$150"}</definedName>
    <definedName name="ммммммммммммммммммммммммм" hidden="1">{"'РП (2)'!$A$5:$S$150"}</definedName>
    <definedName name="москва" hidden="1">{"'РП (2)'!$A$5:$S$150"}</definedName>
    <definedName name="мы" hidden="1">{"'РП (2)'!$A$5:$S$150"}</definedName>
    <definedName name="н" hidden="1">{"'РП (2)'!$A$5:$S$150"}</definedName>
    <definedName name="Назарово" hidden="1">{"'РП (2)'!$A$5:$S$150"}</definedName>
    <definedName name="Назарово_1151" hidden="1">{"'РП (2)'!$A$5:$S$150"}</definedName>
    <definedName name="назаровский" hidden="1">{"'РП (2)'!$A$5:$S$150"}</definedName>
    <definedName name="нак" hidden="1">{"'Sheet1'!$A$1:$G$85"}</definedName>
    <definedName name="нак_1" hidden="1">{"'Sheet1'!$A$1:$G$85"}</definedName>
    <definedName name="нак_1_1" hidden="1">{"'Sheet1'!$A$1:$G$85"}</definedName>
    <definedName name="нак_2" hidden="1">{"'Sheet1'!$A$1:$G$85"}</definedName>
    <definedName name="нак_3" hidden="1">{"'Sheet1'!$A$1:$G$85"}</definedName>
    <definedName name="нак_4" hidden="1">{"'Sheet1'!$A$1:$G$85"}</definedName>
    <definedName name="нарастание" hidden="1">{"'РП (2)'!$A$5:$S$150"}</definedName>
    <definedName name="нет" hidden="1">{"'РП (2)'!$A$5:$S$150"}</definedName>
    <definedName name="нк" hidden="1">{"'РП (2)'!$A$5:$S$150"}</definedName>
    <definedName name="нннннннннннн" hidden="1">{"'РП (2)'!$A$5:$S$150"}</definedName>
    <definedName name="Общеж." hidden="1">{"'РП (2)'!$A$5:$S$150"}</definedName>
    <definedName name="оолдж" hidden="1">{"'РП (2)'!$A$5:$S$150"}</definedName>
    <definedName name="ооод" hidden="1">{"'РП (2)'!$A$5:$S$150"}</definedName>
    <definedName name="ооож" hidden="1">{"'РП (2)'!$A$5:$S$150"}</definedName>
    <definedName name="оооо" hidden="1">{"'РП (2)'!$A$5:$S$150"}</definedName>
    <definedName name="оооооооо" hidden="1">{"'Sheet1'!$A$1:$G$85"}</definedName>
    <definedName name="оооооооо_1" hidden="1">{"'Sheet1'!$A$1:$G$85"}</definedName>
    <definedName name="оооооооо_2" hidden="1">{"'Sheet1'!$A$1:$G$85"}</definedName>
    <definedName name="оооооооо_3" hidden="1">{"'Sheet1'!$A$1:$G$85"}</definedName>
    <definedName name="оооооооо_4" hidden="1">{"'Sheet1'!$A$1:$G$85"}</definedName>
    <definedName name="ооооооооо" hidden="1">{"'РП (2)'!$A$5:$S$150"}</definedName>
    <definedName name="оооооооооооооооооо" hidden="1">{"'РП (2)'!$A$5:$S$150"}</definedName>
    <definedName name="оооэхз" hidden="1">{"'РП (2)'!$A$5:$S$150"}</definedName>
    <definedName name="ор" hidden="1">{"'РП (2)'!$A$5:$S$150"}</definedName>
    <definedName name="оштлош" hidden="1">{"'РП (2)'!$A$5:$S$150"}</definedName>
    <definedName name="ощлщл" hidden="1">{"'РП (2)'!$A$5:$S$150"}</definedName>
    <definedName name="п" hidden="1">{"'РП (2)'!$A$5:$S$150"}</definedName>
    <definedName name="па" hidden="1">{"'РП (2)'!$A$5:$S$150"}</definedName>
    <definedName name="пе" hidden="1">{"'РП (2)'!$A$5:$S$150"}</definedName>
    <definedName name="пппп" hidden="1">{"'РП (2)'!$A$5:$S$150"}</definedName>
    <definedName name="пппппппппппппппппппппппп" hidden="1">{"'РП (2)'!$A$5:$S$150"}</definedName>
    <definedName name="прибыль" hidden="1">{"'РП (2)'!$A$5:$S$150"}</definedName>
    <definedName name="про" hidden="1">{"'РП (2)'!$A$5:$S$150"}</definedName>
    <definedName name="пром" hidden="1">{"'РП (2)'!$A$5:$S$150"}</definedName>
    <definedName name="прьь" hidden="1">{"'Prices'!$A$4:$J$27"}</definedName>
    <definedName name="пту1" hidden="1">{"'РП (2)'!$A$5:$S$150"}</definedName>
    <definedName name="ПЭБ" hidden="1">{"'РП (2)'!$A$5:$S$150"}</definedName>
    <definedName name="Рабочие" hidden="1">{"'РП (2)'!$A$5:$S$150"}</definedName>
    <definedName name="расчет" hidden="1">{"'РП (2)'!$A$5:$S$150"}</definedName>
    <definedName name="рз" hidden="1">{"'Sheet1'!$A$1:$G$85"}</definedName>
    <definedName name="рз_1" hidden="1">{"'Sheet1'!$A$1:$G$85"}</definedName>
    <definedName name="рз_2" hidden="1">{"'Sheet1'!$A$1:$G$85"}</definedName>
    <definedName name="рз_3" hidden="1">{"'Sheet1'!$A$1:$G$85"}</definedName>
    <definedName name="рз_4" hidden="1">{"'Sheet1'!$A$1:$G$85"}</definedName>
    <definedName name="рл" hidden="1">{"'РП (2)'!$A$5:$S$150"}</definedName>
    <definedName name="рол" hidden="1">{"'РП (2)'!$A$5:$S$150"}</definedName>
    <definedName name="ролдж" hidden="1">{"'РП (2)'!$A$5:$S$150"}</definedName>
    <definedName name="рп" hidden="1">{"'РП (2)'!$A$5:$S$150"}</definedName>
    <definedName name="рпо" hidden="1">{"'РП (2)'!$A$5:$S$150"}</definedName>
    <definedName name="рр" hidden="1">{"'РП (2)'!$A$5:$S$150"}</definedName>
    <definedName name="рролдж" hidden="1">{"'РП (2)'!$A$5:$S$150"}</definedName>
    <definedName name="рроророророр" hidden="1">{"'РП (2)'!$A$5:$S$150"}</definedName>
    <definedName name="ррр" hidden="1">{"'РП (2)'!$A$5:$S$150"}</definedName>
    <definedName name="рррр" hidden="1">{"'РП (2)'!$A$5:$S$150"}</definedName>
    <definedName name="ррррр" hidden="1">{"'РП (2)'!$A$5:$S$150"}</definedName>
    <definedName name="ррррррр" hidden="1">{"'РП (2)'!$A$5:$S$150"}</definedName>
    <definedName name="рррррррр" hidden="1">{"'РП (2)'!$A$5:$S$150"}</definedName>
    <definedName name="ррррррррррррррр" hidden="1">{"'РП (2)'!$A$5:$S$150"}</definedName>
    <definedName name="руков" hidden="1">{"'РП (2)'!$A$5:$S$150"}</definedName>
    <definedName name="рьрь" hidden="1">{"'Prices'!$A$4:$J$27"}</definedName>
    <definedName name="с" hidden="1">{"'РП (2)'!$A$5:$S$150"}</definedName>
    <definedName name="совм" hidden="1">{"'РП (2)'!$A$5:$S$150"}</definedName>
    <definedName name="сссссс" hidden="1">{"'РП (2)'!$A$5:$S$150"}</definedName>
    <definedName name="сссссссссссммммммммммм" hidden="1">{"'РП (2)'!$A$5:$S$150"}</definedName>
    <definedName name="сссссссссссссс" hidden="1">{"'РП (2)'!$A$5:$S$150"}</definedName>
    <definedName name="сссссссссссссссссссссс" hidden="1">{"'РП (2)'!$A$5:$S$150"}</definedName>
    <definedName name="тмт" hidden="1">{"'РП (2)'!$A$5:$S$150"}</definedName>
    <definedName name="томск" hidden="1">{"'РП (2)'!$A$5:$S$150"}</definedName>
    <definedName name="тттт" hidden="1">{"'РП (2)'!$A$5:$S$150"}</definedName>
    <definedName name="тттттт" hidden="1">{"'РП (2)'!$A$5:$S$150"}</definedName>
    <definedName name="ттттттттттттт" hidden="1">{"'РП (2)'!$A$5:$S$150"}</definedName>
    <definedName name="тттттттттттттттттттттт" hidden="1">{"'РП (2)'!$A$5:$S$150"}</definedName>
    <definedName name="тьб" hidden="1">{"'РП (2)'!$A$5:$S$150"}</definedName>
    <definedName name="тьтьтьтьт" hidden="1">{"'РП (2)'!$A$5:$S$150"}</definedName>
    <definedName name="тьтьтььтм" hidden="1">{"'РП (2)'!$A$5:$S$150"}</definedName>
    <definedName name="ТЭО" hidden="1">{"'Prices'!$A$4:$J$27"}</definedName>
    <definedName name="тэп" hidden="1">{"'РП (2)'!$A$5:$S$150"}</definedName>
    <definedName name="укпукп" hidden="1">{"'Prices'!$A$4:$J$27"}</definedName>
    <definedName name="укрр" hidden="1">{"'Prices'!$A$4:$J$27"}</definedName>
    <definedName name="укыер" hidden="1">{"'Sheet1'!$A$1:$G$85"}</definedName>
    <definedName name="уу" hidden="1">{"'РП (2)'!$A$5:$S$150"}</definedName>
    <definedName name="уууууу" hidden="1">{"'РП (2)'!$A$5:$S$150"}</definedName>
    <definedName name="ууууууууууууу" hidden="1">{"'РП (2)'!$A$5:$S$150"}</definedName>
    <definedName name="фв" hidden="1">{"'РП (2)'!$A$5:$S$150"}</definedName>
    <definedName name="фпи" hidden="1">{"'Sheet1'!$A$1:$G$85"}</definedName>
    <definedName name="фпи_1" hidden="1">{"'Sheet1'!$A$1:$G$85"}</definedName>
    <definedName name="фпи_1_1" hidden="1">{"'Sheet1'!$A$1:$G$85"}</definedName>
    <definedName name="фпи_2" hidden="1">{"'Sheet1'!$A$1:$G$85"}</definedName>
    <definedName name="фпи_3" hidden="1">{"'Sheet1'!$A$1:$G$85"}</definedName>
    <definedName name="фпи_4" hidden="1">{"'Sheet1'!$A$1:$G$85"}</definedName>
    <definedName name="фффффффф" hidden="1">{"'Sheet1'!$A$1:$G$85"}</definedName>
    <definedName name="ффффффффффффф" hidden="1">{"'РП (2)'!$A$5:$S$150"}</definedName>
    <definedName name="фц" hidden="1">{"'РП (2)'!$A$5:$S$150"}</definedName>
    <definedName name="фц_1" hidden="1">{"'РП (2)'!$A$5:$S$150"}</definedName>
    <definedName name="фц_1_1" hidden="1">{"'РП (2)'!$A$5:$S$150"}</definedName>
    <definedName name="фц_2" hidden="1">{"'РП (2)'!$A$5:$S$150"}</definedName>
    <definedName name="фц_3" hidden="1">{"'РП (2)'!$A$5:$S$150"}</definedName>
    <definedName name="фц_4" hidden="1">{"'РП (2)'!$A$5:$S$150"}</definedName>
    <definedName name="ххх_" hidden="1">{"'РП (2)'!$A$5:$S$150"}</definedName>
    <definedName name="ххххх" hidden="1">{"'РП (2)'!$A$5:$S$150"}</definedName>
    <definedName name="ххххххх" hidden="1">{"'РП (2)'!$A$5:$S$150"}</definedName>
    <definedName name="хххххххххххххххххххх" hidden="1">{"'РП (2)'!$A$5:$S$150"}</definedName>
    <definedName name="це" hidden="1">{"'РП (2)'!$A$5:$S$150"}</definedName>
    <definedName name="цк" hidden="1">{"'РП (2)'!$A$5:$S$150"}</definedName>
    <definedName name="цуен" hidden="1">{"'РП (2)'!$A$5:$S$150"}</definedName>
    <definedName name="цуен_1" hidden="1">{"'РП (2)'!$A$5:$S$150"}</definedName>
    <definedName name="цуен_2" hidden="1">{"'РП (2)'!$A$5:$S$150"}</definedName>
    <definedName name="цуен_3" hidden="1">{"'РП (2)'!$A$5:$S$150"}</definedName>
    <definedName name="цуен_4" hidden="1">{"'РП (2)'!$A$5:$S$150"}</definedName>
    <definedName name="цф" hidden="1">{"'РП (2)'!$A$5:$S$150"}</definedName>
    <definedName name="цц" hidden="1">{"'РП (2)'!$A$5:$S$150"}</definedName>
    <definedName name="ццццц" hidden="1">{"'РП (2)'!$A$5:$S$150"}</definedName>
    <definedName name="цццццц" hidden="1">{"'РП (2)'!$A$5:$S$150"}</definedName>
    <definedName name="цццццццц" hidden="1">{"'Sheet1'!$A$1:$G$85"}</definedName>
    <definedName name="ццццццццццццццццц" hidden="1">{"'РП (2)'!$A$5:$S$150"}</definedName>
    <definedName name="ч" hidden="1">{"'РП (2)'!$A$5:$S$150"}</definedName>
    <definedName name="Численность" hidden="1">{"'РП (2)'!$A$5:$S$150"}</definedName>
    <definedName name="чпава" hidden="1">{"'Sheet1'!$A$1:$G$85"}</definedName>
    <definedName name="чпава_1" hidden="1">{"'Sheet1'!$A$1:$G$85"}</definedName>
    <definedName name="чпава_1_1" hidden="1">{"'Sheet1'!$A$1:$G$85"}</definedName>
    <definedName name="чпава_2" hidden="1">{"'Sheet1'!$A$1:$G$85"}</definedName>
    <definedName name="чпава_3" hidden="1">{"'Sheet1'!$A$1:$G$85"}</definedName>
    <definedName name="чпава_4" hidden="1">{"'Sheet1'!$A$1:$G$85"}</definedName>
    <definedName name="чт" hidden="1">{"'РП (2)'!$A$5:$S$150"}</definedName>
    <definedName name="чч" hidden="1">{"'РП (2)'!$A$5:$S$150"}</definedName>
    <definedName name="ччч" hidden="1">{"'РП (2)'!$A$5:$S$150"}</definedName>
    <definedName name="чччч" hidden="1">{"'РП (2)'!$A$5:$S$150"}</definedName>
    <definedName name="ччччччч" hidden="1">{"'РП (2)'!$A$5:$S$150"}</definedName>
    <definedName name="ччччччччччччччч" hidden="1">{"'РП (2)'!$A$5:$S$150"}</definedName>
    <definedName name="чччччччччччччччччч" hidden="1">{"'РП (2)'!$A$5:$S$150"}</definedName>
    <definedName name="ш" hidden="1">{"'РП (2)'!$A$5:$S$150"}</definedName>
    <definedName name="шгзлхз" hidden="1">{"'РП (2)'!$A$5:$S$150"}</definedName>
    <definedName name="шгзщш" hidden="1">{"'РП (2)'!$A$5:$S$150"}</definedName>
    <definedName name="шгн" hidden="1">{"'РП (2)'!$A$5:$S$150"}</definedName>
    <definedName name="шгшгшг" hidden="1">{"'РП (2)'!$A$5:$S$150"}</definedName>
    <definedName name="шн" hidden="1">{"'РП (2)'!$A$5:$S$150"}</definedName>
    <definedName name="шшрш" hidden="1">{"'РП (2)'!$A$5:$S$150"}</definedName>
    <definedName name="шшшшш" hidden="1">{"'РП (2)'!$A$5:$S$150"}</definedName>
    <definedName name="шшшшшшшшшшшшшш" hidden="1">{"'РП (2)'!$A$5:$S$150"}</definedName>
    <definedName name="щ" hidden="1">{"'РП (2)'!$A$5:$S$150"}</definedName>
    <definedName name="щр" hidden="1">{"'РП (2)'!$A$5:$S$150"}</definedName>
    <definedName name="щшоджл" hidden="1">{"'РП (2)'!$A$5:$S$150"}</definedName>
    <definedName name="щщ" hidden="1">{"'РП (2)'!$A$5:$S$150"}</definedName>
    <definedName name="щщощщ" hidden="1">{"'РП (2)'!$A$5:$S$150"}</definedName>
    <definedName name="щщщщщ" hidden="1">{"'РП (2)'!$A$5:$S$150"}</definedName>
    <definedName name="щщщщщщщщщщщщ" hidden="1">{"'РП (2)'!$A$5:$S$150"}</definedName>
    <definedName name="ъжъждоп" hidden="1">{"'РП (2)'!$A$5:$S$150"}</definedName>
    <definedName name="ъхз" hidden="1">{"'РП (2)'!$A$5:$S$150"}</definedName>
    <definedName name="ъъъъъ" hidden="1">{"'РП (2)'!$A$5:$S$150"}</definedName>
    <definedName name="ъъъъъъ" hidden="1">{"'РП (2)'!$A$5:$S$150"}</definedName>
    <definedName name="ъъъъъъъъъъъъъъъъъ" hidden="1">{"'РП (2)'!$A$5:$S$150"}</definedName>
    <definedName name="ЫАиА" hidden="1">{"'Prices'!$A$4:$J$27"}</definedName>
    <definedName name="ывапра" hidden="1">{"'Sheet1'!$A$1:$G$85"}</definedName>
    <definedName name="ывапра_1" hidden="1">{"'Sheet1'!$A$1:$G$85"}</definedName>
    <definedName name="ывапра_1_1" hidden="1">{"'Sheet1'!$A$1:$G$85"}</definedName>
    <definedName name="ывапра_2" hidden="1">{"'Sheet1'!$A$1:$G$85"}</definedName>
    <definedName name="ывапра_3" hidden="1">{"'Sheet1'!$A$1:$G$85"}</definedName>
    <definedName name="ывапра_4" hidden="1">{"'Sheet1'!$A$1:$G$85"}</definedName>
    <definedName name="Ывмыцкп" hidden="1">{"'Prices'!$A$4:$J$27"}</definedName>
    <definedName name="ыерот" hidden="1">{"'Prices'!$A$4:$J$27"}</definedName>
    <definedName name="ымп" hidden="1">{"'Prices'!$A$4:$J$27"}</definedName>
    <definedName name="ыы" hidden="1">{"'РП (2)'!$A$5:$S$150"}</definedName>
    <definedName name="ыывв" hidden="1">{"'РП (2)'!$A$5:$S$150"}</definedName>
    <definedName name="ыыы" hidden="1">{"'РП (2)'!$A$5:$S$150"}</definedName>
    <definedName name="ыыы_1" hidden="1">{"'РП (2)'!$A$5:$S$150"}</definedName>
    <definedName name="ыыы_1_1" hidden="1">{"'РП (2)'!$A$5:$S$150"}</definedName>
    <definedName name="ыыы_2" hidden="1">{"'РП (2)'!$A$5:$S$150"}</definedName>
    <definedName name="ыыы_3" hidden="1">{"'РП (2)'!$A$5:$S$150"}</definedName>
    <definedName name="ыыы_4" hidden="1">{"'РП (2)'!$A$5:$S$150"}</definedName>
    <definedName name="ыыыыыыыыыы" hidden="1">{"'РП (2)'!$A$5:$S$150"}</definedName>
    <definedName name="ыыыыыыыыыыввввввввввввв" hidden="1">{"'РП (2)'!$A$5:$S$150"}</definedName>
    <definedName name="ь" hidden="1">{"'РП (2)'!$A$5:$S$150"}</definedName>
    <definedName name="ьрпср" hidden="1">{"'Sheet1'!$A$1:$G$85"}</definedName>
    <definedName name="ььььььььь" hidden="1">{"'Sheet1'!$A$1:$G$85"}</definedName>
    <definedName name="ьььььььььььбб" hidden="1">{"'РП (2)'!$A$5:$S$150"}</definedName>
    <definedName name="ььььььььььььььь" hidden="1">{"'РП (2)'!$A$5:$S$150"}</definedName>
    <definedName name="ььььььььььььььььььььь" hidden="1">{"'РП (2)'!$A$5:$S$150"}</definedName>
    <definedName name="эж" hidden="1">{"'РП (2)'!$A$5:$S$150"}</definedName>
    <definedName name="эжд" hidden="1">{"'РП (2)'!$A$5:$S$150"}</definedName>
    <definedName name="эзп" hidden="1">{"'РП (2)'!$A$5:$S$150"}</definedName>
    <definedName name="ээээ" hidden="1">{"'Prices'!$A$4:$J$27"}</definedName>
    <definedName name="эээээ" hidden="1">{"'РП (2)'!$A$5:$S$150"}</definedName>
    <definedName name="ээээээ" hidden="1">{"'РП (2)'!$A$5:$S$150"}</definedName>
    <definedName name="ээээээээ" hidden="1">{"'РП (2)'!$A$5:$S$150"}</definedName>
    <definedName name="ээээээээээ" hidden="1">{"'РП (2)'!$A$5:$S$150"}</definedName>
    <definedName name="юю" hidden="1">{"'РП (2)'!$A$5:$S$150"}</definedName>
    <definedName name="юююю" hidden="1">{"'РП (2)'!$A$5:$S$150"}</definedName>
    <definedName name="ююююю" hidden="1">{"'РП (2)'!$A$5:$S$150"}</definedName>
    <definedName name="юююююю" hidden="1">{"'РП (2)'!$A$5:$S$150"}</definedName>
    <definedName name="ююююююююююююю" hidden="1">{"'РП (2)'!$A$5:$S$150"}</definedName>
    <definedName name="ява" hidden="1">{"'Sheet1'!$A$1:$G$85"}</definedName>
    <definedName name="ява_1" hidden="1">{"'Sheet1'!$A$1:$G$85"}</definedName>
    <definedName name="ява_1_1" hidden="1">{"'Sheet1'!$A$1:$G$85"}</definedName>
    <definedName name="ява_2" hidden="1">{"'Sheet1'!$A$1:$G$85"}</definedName>
    <definedName name="ява_3" hidden="1">{"'Sheet1'!$A$1:$G$85"}</definedName>
    <definedName name="ява_4" hidden="1">{"'Sheet1'!$A$1:$G$85"}</definedName>
    <definedName name="яваи" hidden="1">{"'Sheet1'!$A$1:$G$85"}</definedName>
    <definedName name="яваи_1" hidden="1">{"'Sheet1'!$A$1:$G$85"}</definedName>
    <definedName name="яваи_1_1" hidden="1">{"'Sheet1'!$A$1:$G$85"}</definedName>
    <definedName name="яваи_2" hidden="1">{"'Sheet1'!$A$1:$G$85"}</definedName>
    <definedName name="яваи_3" hidden="1">{"'Sheet1'!$A$1:$G$85"}</definedName>
    <definedName name="яваи_4" hidden="1">{"'Sheet1'!$A$1:$G$85"}</definedName>
    <definedName name="яя" hidden="1">{"'РП (2)'!$A$5:$S$150"}</definedName>
    <definedName name="яяя" hidden="1">{"'РП (2)'!$A$5:$S$150"}</definedName>
    <definedName name="яяяя" hidden="1">{"'РП (2)'!$A$5:$S$150"}</definedName>
    <definedName name="яяяяя" hidden="1">{"'РП (2)'!$A$5:$S$150"}</definedName>
    <definedName name="яяяяяяяяяяяяяяя" hidden="1">{"'РП (2)'!$A$5:$S$150"}</definedName>
    <definedName name="яяяяяяяяяяяяяяяяяя" hidden="1">{"'РП (2)'!$A$5:$S$150"}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36" l="1"/>
  <c r="C6" i="36"/>
  <c r="C7" i="36"/>
  <c r="C8" i="36"/>
  <c r="C9" i="36"/>
  <c r="C10" i="36"/>
  <c r="C11" i="36"/>
  <c r="C12" i="36"/>
  <c r="C13" i="36"/>
  <c r="C14" i="36"/>
  <c r="C15" i="36"/>
  <c r="C16" i="36"/>
  <c r="C17" i="36"/>
  <c r="C18" i="36"/>
  <c r="C19" i="36"/>
  <c r="C7" i="33"/>
  <c r="C6" i="33"/>
  <c r="C5" i="33"/>
  <c r="C7" i="32"/>
  <c r="C6" i="32"/>
  <c r="C5" i="32"/>
  <c r="C30" i="18"/>
  <c r="C29" i="18"/>
  <c r="C28" i="18"/>
  <c r="C27" i="18"/>
  <c r="C26" i="18"/>
  <c r="C25" i="18"/>
  <c r="C21" i="18"/>
  <c r="C17" i="18"/>
  <c r="C13" i="18"/>
  <c r="C9" i="18"/>
  <c r="C5" i="18"/>
  <c r="C23" i="19"/>
  <c r="C19" i="19"/>
  <c r="C15" i="19"/>
  <c r="C11" i="19"/>
  <c r="C7" i="19"/>
  <c r="C6" i="19"/>
  <c r="C5" i="19"/>
  <c r="C4" i="19"/>
  <c r="C123" i="1"/>
  <c r="C129" i="1"/>
  <c r="C128" i="1"/>
  <c r="C127" i="1"/>
  <c r="C126" i="1"/>
  <c r="C125" i="1"/>
  <c r="C124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I108" i="28"/>
  <c r="J108" i="28"/>
  <c r="K108" i="28"/>
  <c r="L108" i="28"/>
  <c r="M108" i="28"/>
  <c r="N108" i="28"/>
  <c r="O108" i="28"/>
  <c r="H108" i="28"/>
  <c r="A122" i="1"/>
  <c r="C85" i="28"/>
  <c r="C8" i="28"/>
  <c r="A121" i="1"/>
  <c r="C46" i="28" s="1"/>
  <c r="A120" i="1"/>
  <c r="A119" i="1"/>
  <c r="C7" i="28" s="1"/>
  <c r="A27" i="22"/>
  <c r="A28" i="22"/>
  <c r="A29" i="22"/>
  <c r="A30" i="22"/>
  <c r="A31" i="22"/>
  <c r="A26" i="22"/>
  <c r="A129" i="1"/>
  <c r="A128" i="1"/>
  <c r="E27" i="28"/>
  <c r="H30" i="28" s="1"/>
  <c r="H31" i="28" s="1"/>
  <c r="O10" i="35"/>
  <c r="O14" i="35"/>
  <c r="O18" i="35"/>
  <c r="O22" i="35"/>
  <c r="N25" i="35"/>
  <c r="N24" i="35"/>
  <c r="N23" i="35"/>
  <c r="N22" i="35"/>
  <c r="N21" i="35"/>
  <c r="N20" i="35"/>
  <c r="N19" i="35"/>
  <c r="N18" i="35"/>
  <c r="N17" i="35"/>
  <c r="N16" i="35"/>
  <c r="N15" i="35"/>
  <c r="N14" i="35"/>
  <c r="N13" i="35"/>
  <c r="N12" i="35"/>
  <c r="N11" i="35"/>
  <c r="N7" i="35"/>
  <c r="N10" i="35"/>
  <c r="N9" i="35"/>
  <c r="N8" i="35"/>
  <c r="T8" i="35"/>
  <c r="O8" i="35" s="1"/>
  <c r="AA17" i="35"/>
  <c r="AA21" i="35" s="1"/>
  <c r="AA25" i="35" s="1"/>
  <c r="Z17" i="35"/>
  <c r="Z21" i="35" s="1"/>
  <c r="Z25" i="35" s="1"/>
  <c r="Y17" i="35"/>
  <c r="Y21" i="35" s="1"/>
  <c r="Y25" i="35" s="1"/>
  <c r="X17" i="35"/>
  <c r="X21" i="35" s="1"/>
  <c r="X25" i="35" s="1"/>
  <c r="W17" i="35"/>
  <c r="W21" i="35" s="1"/>
  <c r="W25" i="35" s="1"/>
  <c r="V17" i="35"/>
  <c r="V21" i="35" s="1"/>
  <c r="V25" i="35" s="1"/>
  <c r="U17" i="35"/>
  <c r="U21" i="35" s="1"/>
  <c r="U25" i="35" s="1"/>
  <c r="AA16" i="35"/>
  <c r="AA20" i="35" s="1"/>
  <c r="AA24" i="35" s="1"/>
  <c r="Z16" i="35"/>
  <c r="Z20" i="35" s="1"/>
  <c r="Z24" i="35" s="1"/>
  <c r="Y16" i="35"/>
  <c r="Y20" i="35" s="1"/>
  <c r="Y24" i="35" s="1"/>
  <c r="X16" i="35"/>
  <c r="X20" i="35" s="1"/>
  <c r="X24" i="35" s="1"/>
  <c r="W16" i="35"/>
  <c r="W20" i="35" s="1"/>
  <c r="W24" i="35" s="1"/>
  <c r="V16" i="35"/>
  <c r="V20" i="35" s="1"/>
  <c r="V24" i="35" s="1"/>
  <c r="U16" i="35"/>
  <c r="U20" i="35" s="1"/>
  <c r="U24" i="35" s="1"/>
  <c r="AA15" i="35"/>
  <c r="AA19" i="35" s="1"/>
  <c r="AA23" i="35" s="1"/>
  <c r="Z15" i="35"/>
  <c r="Z19" i="35" s="1"/>
  <c r="Z23" i="35" s="1"/>
  <c r="Y15" i="35"/>
  <c r="Y19" i="35" s="1"/>
  <c r="Y23" i="35" s="1"/>
  <c r="X15" i="35"/>
  <c r="X19" i="35" s="1"/>
  <c r="X23" i="35" s="1"/>
  <c r="W15" i="35"/>
  <c r="W19" i="35" s="1"/>
  <c r="W23" i="35" s="1"/>
  <c r="V15" i="35"/>
  <c r="V19" i="35" s="1"/>
  <c r="V23" i="35" s="1"/>
  <c r="U15" i="35"/>
  <c r="U19" i="35" s="1"/>
  <c r="U23" i="35" s="1"/>
  <c r="T13" i="35"/>
  <c r="O13" i="35" s="1"/>
  <c r="T12" i="35"/>
  <c r="O12" i="35" s="1"/>
  <c r="T11" i="35"/>
  <c r="O11" i="35" s="1"/>
  <c r="T9" i="35"/>
  <c r="O9" i="35" s="1"/>
  <c r="T7" i="35"/>
  <c r="O7" i="35" s="1"/>
  <c r="E132" i="29"/>
  <c r="D132" i="29" s="1" a="1"/>
  <c r="D132" i="29" s="1"/>
  <c r="L132" i="29"/>
  <c r="L137" i="29" s="1"/>
  <c r="K132" i="29"/>
  <c r="K137" i="29" s="1"/>
  <c r="J132" i="29"/>
  <c r="I132" i="29"/>
  <c r="H132" i="29"/>
  <c r="G132" i="29"/>
  <c r="F132" i="29"/>
  <c r="B137" i="29"/>
  <c r="B132" i="29"/>
  <c r="C120" i="29"/>
  <c r="B36" i="29"/>
  <c r="B64" i="29" s="1"/>
  <c r="B97" i="29"/>
  <c r="C85" i="29"/>
  <c r="B62" i="29"/>
  <c r="C36" i="29"/>
  <c r="C2" i="29"/>
  <c r="L79" i="34"/>
  <c r="G59" i="34"/>
  <c r="G55" i="34" s="1"/>
  <c r="J55" i="34"/>
  <c r="I55" i="34"/>
  <c r="H55" i="34"/>
  <c r="G49" i="34"/>
  <c r="G45" i="34" s="1"/>
  <c r="J45" i="34"/>
  <c r="I45" i="34"/>
  <c r="H45" i="34"/>
  <c r="G40" i="34"/>
  <c r="J36" i="34"/>
  <c r="I36" i="34"/>
  <c r="H36" i="34"/>
  <c r="G36" i="34"/>
  <c r="J27" i="34"/>
  <c r="I27" i="34"/>
  <c r="H27" i="34"/>
  <c r="G27" i="34"/>
  <c r="A25" i="22"/>
  <c r="A24" i="22"/>
  <c r="G30" i="28" l="1"/>
  <c r="T17" i="35"/>
  <c r="T16" i="35"/>
  <c r="T15" i="35"/>
  <c r="D99" i="29"/>
  <c r="B99" i="29"/>
  <c r="D64" i="29"/>
  <c r="C50" i="29"/>
  <c r="K23" i="29"/>
  <c r="A127" i="1"/>
  <c r="A126" i="1"/>
  <c r="A21" i="22"/>
  <c r="A22" i="22"/>
  <c r="A20" i="22"/>
  <c r="A19" i="22"/>
  <c r="A124" i="1"/>
  <c r="A125" i="1"/>
  <c r="A23" i="22"/>
  <c r="C18" i="29"/>
  <c r="C117" i="28"/>
  <c r="G129" i="28"/>
  <c r="J122" i="28"/>
  <c r="K122" i="28"/>
  <c r="L122" i="28"/>
  <c r="M122" i="28"/>
  <c r="N122" i="28"/>
  <c r="O122" i="28"/>
  <c r="P122" i="28"/>
  <c r="F108" i="28"/>
  <c r="T19" i="35" l="1"/>
  <c r="O15" i="35"/>
  <c r="T20" i="35"/>
  <c r="O16" i="35"/>
  <c r="T21" i="35"/>
  <c r="O17" i="35"/>
  <c r="D29" i="29"/>
  <c r="H122" i="28"/>
  <c r="I122" i="28"/>
  <c r="G122" i="28"/>
  <c r="G58" i="28"/>
  <c r="T25" i="35" l="1"/>
  <c r="O25" i="35" s="1"/>
  <c r="O21" i="35"/>
  <c r="T24" i="35"/>
  <c r="O24" i="35" s="1"/>
  <c r="O20" i="35"/>
  <c r="T23" i="35"/>
  <c r="O23" i="35" s="1"/>
  <c r="O19" i="35"/>
  <c r="I30" i="28"/>
  <c r="I31" i="28" s="1"/>
  <c r="L30" i="28"/>
  <c r="L31" i="28" s="1"/>
  <c r="N30" i="28"/>
  <c r="N31" i="28" s="1"/>
  <c r="J30" i="28"/>
  <c r="J31" i="28" s="1"/>
  <c r="P30" i="28"/>
  <c r="P31" i="28" s="1"/>
  <c r="O30" i="28"/>
  <c r="O31" i="28" s="1"/>
  <c r="K30" i="28"/>
  <c r="K31" i="28" s="1"/>
  <c r="M30" i="28"/>
  <c r="M31" i="28" s="1"/>
  <c r="G31" i="28" l="1"/>
  <c r="A18" i="22"/>
  <c r="A17" i="22"/>
  <c r="A16" i="22"/>
  <c r="A15" i="22"/>
  <c r="A14" i="22"/>
  <c r="A13" i="22"/>
  <c r="A12" i="22"/>
  <c r="A11" i="22"/>
  <c r="A10" i="22"/>
  <c r="A9" i="22"/>
  <c r="A8" i="22"/>
  <c r="A7" i="22"/>
  <c r="A123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1" i="1"/>
  <c r="A100" i="1"/>
  <c r="A99" i="1"/>
  <c r="A98" i="1"/>
  <c r="A97" i="1"/>
  <c r="A96" i="1"/>
  <c r="A95" i="1"/>
  <c r="A94" i="1"/>
  <c r="A93" i="1"/>
  <c r="A12" i="1"/>
  <c r="A11" i="1"/>
  <c r="A10" i="1"/>
  <c r="G36" i="21"/>
  <c r="G41" i="21" s="1"/>
  <c r="A40" i="1"/>
  <c r="A36" i="1"/>
  <c r="A39" i="1"/>
  <c r="A38" i="1"/>
  <c r="A37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9" i="1"/>
  <c r="A8" i="1"/>
  <c r="A7" i="1"/>
  <c r="A3" i="1"/>
  <c r="E11" i="28" s="1"/>
  <c r="H123" i="28"/>
  <c r="I123" i="28"/>
  <c r="J123" i="28"/>
  <c r="C27" i="19" l="1"/>
  <c r="C28" i="19"/>
  <c r="G27" i="28"/>
  <c r="I125" i="28"/>
  <c r="H125" i="28"/>
  <c r="D117" i="28" s="1"/>
  <c r="E6" i="28" s="1"/>
  <c r="J125" i="28"/>
  <c r="K123" i="28"/>
  <c r="G123" i="28" l="1"/>
  <c r="G125" i="28" s="1"/>
  <c r="G126" i="28" s="1"/>
  <c r="G108" i="28"/>
  <c r="H126" i="28"/>
  <c r="I126" i="28"/>
  <c r="K125" i="28"/>
  <c r="K126" i="28" s="1"/>
  <c r="L123" i="28"/>
  <c r="J126" i="28"/>
  <c r="M123" i="28"/>
  <c r="M125" i="28" s="1"/>
  <c r="N123" i="28"/>
  <c r="N125" i="28" s="1"/>
  <c r="O123" i="28"/>
  <c r="L125" i="28" l="1"/>
  <c r="M126" i="28"/>
  <c r="O125" i="28"/>
  <c r="O126" i="28" s="1"/>
  <c r="P108" i="28" s="1"/>
  <c r="P123" i="28"/>
  <c r="P125" i="28" s="1"/>
  <c r="N126" i="28"/>
  <c r="L126" i="28" l="1"/>
  <c r="P126" i="28"/>
  <c r="D137" i="2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<sst xmlns="http://schemas.openxmlformats.org/spreadsheetml/2006/main" count="2743" uniqueCount="944">
  <si>
    <t>ТЭП</t>
  </si>
  <si>
    <t>00</t>
  </si>
  <si>
    <t>Список показателей ФМ (пример Мира)</t>
  </si>
  <si>
    <t>Список контролей ИИ</t>
  </si>
  <si>
    <t>ИТ логика (версионность, схема потоков)</t>
  </si>
  <si>
    <t>Формат\макет ввода загрузки - ФМ</t>
  </si>
  <si>
    <t>Формат\макет ввода загрузки - параметры проекта финка\ставки\эскроу для моделирования и сценарки</t>
  </si>
  <si>
    <t>Формат\макет ввода загрузки - цены рынка</t>
  </si>
  <si>
    <t xml:space="preserve"> +методика сбора данных (РУКИ в основном:))</t>
  </si>
  <si>
    <t xml:space="preserve"> + источники методика и приоритеты реализации</t>
  </si>
  <si>
    <t>Формат ДЭШ</t>
  </si>
  <si>
    <t>MR Base</t>
  </si>
  <si>
    <t>MR Ready</t>
  </si>
  <si>
    <t>без отделки</t>
  </si>
  <si>
    <t>ДОУ</t>
  </si>
  <si>
    <t>Парковка</t>
  </si>
  <si>
    <t>Кладовка</t>
  </si>
  <si>
    <t>Продажи</t>
  </si>
  <si>
    <t>Блоки показателей</t>
  </si>
  <si>
    <t>01</t>
  </si>
  <si>
    <t>02</t>
  </si>
  <si>
    <t>Расходы</t>
  </si>
  <si>
    <t>Коммерческие расходы</t>
  </si>
  <si>
    <t>СМР</t>
  </si>
  <si>
    <t>03</t>
  </si>
  <si>
    <t>04</t>
  </si>
  <si>
    <t>05</t>
  </si>
  <si>
    <t>АХР</t>
  </si>
  <si>
    <t>Блок</t>
  </si>
  <si>
    <t>изм</t>
  </si>
  <si>
    <t>метод</t>
  </si>
  <si>
    <t>Параметры</t>
  </si>
  <si>
    <t>Эскроу</t>
  </si>
  <si>
    <t>Рассрочка</t>
  </si>
  <si>
    <t>Ковенанты</t>
  </si>
  <si>
    <t>06</t>
  </si>
  <si>
    <t>Налоги</t>
  </si>
  <si>
    <t>07</t>
  </si>
  <si>
    <t>ЗУ и ИРД</t>
  </si>
  <si>
    <t>Продажи выручка</t>
  </si>
  <si>
    <t>руб</t>
  </si>
  <si>
    <t>м2</t>
  </si>
  <si>
    <t>шт</t>
  </si>
  <si>
    <t>Название</t>
  </si>
  <si>
    <t>Показатель</t>
  </si>
  <si>
    <t>Аналитика</t>
  </si>
  <si>
    <t>Обьем продаж</t>
  </si>
  <si>
    <t>Поступления</t>
  </si>
  <si>
    <t>08</t>
  </si>
  <si>
    <t>09</t>
  </si>
  <si>
    <t>Продажи\контрактация</t>
  </si>
  <si>
    <t>Жилье</t>
  </si>
  <si>
    <t>Офисы</t>
  </si>
  <si>
    <t>Коммерческие</t>
  </si>
  <si>
    <t>Га</t>
  </si>
  <si>
    <t>м2\Га</t>
  </si>
  <si>
    <t>расчет</t>
  </si>
  <si>
    <t>Площадь ЗУ</t>
  </si>
  <si>
    <t>Плотность застройки</t>
  </si>
  <si>
    <t>ГНС ГПЗУ</t>
  </si>
  <si>
    <t>комент</t>
  </si>
  <si>
    <t>либо ввод\либо сумма</t>
  </si>
  <si>
    <t>пока без кол-ва мест СОО и ДОО</t>
  </si>
  <si>
    <t>пока без кол-ва квартир,в т.ч. обеспеченность не считаем</t>
  </si>
  <si>
    <t>ОБЩАЯ наземная площадь</t>
  </si>
  <si>
    <t>ОБЩАЯ подземная площадь</t>
  </si>
  <si>
    <t>ПОЛЕЗНАЯ наземная площадь</t>
  </si>
  <si>
    <t>в м2 не считаем пока</t>
  </si>
  <si>
    <t>ПОЛЕЗНАЯ подземная площадь</t>
  </si>
  <si>
    <t>Пока нет очередей не сможем сверять с РНС</t>
  </si>
  <si>
    <t>руб\м2</t>
  </si>
  <si>
    <t>детализация</t>
  </si>
  <si>
    <t>проект (пока без ОС)</t>
  </si>
  <si>
    <t>источник (опция)</t>
  </si>
  <si>
    <t>Отв\Согл</t>
  </si>
  <si>
    <t>* в будущем можно разделить по отв-м (видеть\вводить\согласовывать свои разделы)</t>
  </si>
  <si>
    <t>Кредиты</t>
  </si>
  <si>
    <t>СПИСОК ФМ</t>
  </si>
  <si>
    <t>ГРУППА ПОКАЗАТЕЛЕЙ</t>
  </si>
  <si>
    <t>РАЗДЕЛЫ ИТ решения по ФМ</t>
  </si>
  <si>
    <t>СРАВНИТЕЛЬНЫЙ АНАЛИЗ \ МОДЕЛИРОВАНИЕ ФМ</t>
  </si>
  <si>
    <t>ИИ АНАЛИЗ ФМ</t>
  </si>
  <si>
    <t>Навигая по списку ФМ с учетом версионности</t>
  </si>
  <si>
    <t>СВОД  ПО ФМ</t>
  </si>
  <si>
    <t>Краткое резюме ФМ проекта и последних изменений</t>
  </si>
  <si>
    <t>Последовательные формы для  ввода и\или загрузки данных с ИИ контролем ввода. Также могут функционировать в режим просмотра ранее загруженных данных (режим просмотра)</t>
  </si>
  <si>
    <t>Список проверок ИИ</t>
  </si>
  <si>
    <t>Номер</t>
  </si>
  <si>
    <t xml:space="preserve">Название </t>
  </si>
  <si>
    <t>Алгоритм</t>
  </si>
  <si>
    <t>Источники</t>
  </si>
  <si>
    <t>Комментарий</t>
  </si>
  <si>
    <t>см - далее</t>
  </si>
  <si>
    <t>СРОКИ</t>
  </si>
  <si>
    <t>Проектирование и СМР</t>
  </si>
  <si>
    <t>Поступления от реализации ОН</t>
  </si>
  <si>
    <t xml:space="preserve">0. Ретро
1. Сверка с документом по ЗУ
</t>
  </si>
  <si>
    <t>0. Ретро 
1. Сверка с документом
2. выгрузка БИМ
3. Бенчмаркинг МРГ\внешний</t>
  </si>
  <si>
    <t>ДОП формы</t>
  </si>
  <si>
    <t>ФОРМЫ ВВОДА ФМ</t>
  </si>
  <si>
    <t>Формы для загрузки доп данных для сверки, контроля и проверок ИИ</t>
  </si>
  <si>
    <t>Примечание</t>
  </si>
  <si>
    <t>Данные для моделирования и расчетов</t>
  </si>
  <si>
    <t>Ввод параметров, модель расчетов</t>
  </si>
  <si>
    <t>1.</t>
  </si>
  <si>
    <t>2.</t>
  </si>
  <si>
    <t>Логика набора показателей</t>
  </si>
  <si>
    <t>3.</t>
  </si>
  <si>
    <t>Открытые вопросы</t>
  </si>
  <si>
    <t>Структура данных БИМ (можно след этапом не сейчас)</t>
  </si>
  <si>
    <t>0.</t>
  </si>
  <si>
    <t>Тек статус - старт, целевой скоуп работ -&gt;</t>
  </si>
  <si>
    <t>Список форм - драфт</t>
  </si>
  <si>
    <t>Детализация расходов мин</t>
  </si>
  <si>
    <t>Запрос текущих дешбоардов (для анализ требований к данным, описания методики\формул расчета, генерации новых отчетов)</t>
  </si>
  <si>
    <t>Структура данных Кулешова (для анализа сопоставимости данных и описания хранения и загрузки)</t>
  </si>
  <si>
    <t>Скоуп</t>
  </si>
  <si>
    <t>ЖУРНАЛ\РОЛИ</t>
  </si>
  <si>
    <t>СВОДНАЯ: ИИ контроль ввода данных, тройная проверка,  ИИ рекомендации и анализ по ФМ в целом + заключение ИИ, интекрактив ИИ</t>
  </si>
  <si>
    <t>ИИ Сводный анализ портфеля</t>
  </si>
  <si>
    <t>Общая аналитика проектов: ключевые показатели и алармы в тч с помощб. ИИ</t>
  </si>
  <si>
    <t>Тушкино</t>
  </si>
  <si>
    <t>выделяют смр соц , псн и тп</t>
  </si>
  <si>
    <t>Мира</t>
  </si>
  <si>
    <t xml:space="preserve">нет </t>
  </si>
  <si>
    <t>статьи ДДС нет, обьекты не выделяют в модели, максимум очереди</t>
  </si>
  <si>
    <t>Статья</t>
  </si>
  <si>
    <t>Вид деятельности</t>
  </si>
  <si>
    <t>Вид реализуемой ОН</t>
  </si>
  <si>
    <t>Вид СМР ОН</t>
  </si>
  <si>
    <t>Проекты</t>
  </si>
  <si>
    <t>Очереди\ПК</t>
  </si>
  <si>
    <t>Описание</t>
  </si>
  <si>
    <t>ОбСтр</t>
  </si>
  <si>
    <t>Тип справ</t>
  </si>
  <si>
    <t>Иерар</t>
  </si>
  <si>
    <t>Группировка: опер, фин инвест</t>
  </si>
  <si>
    <t>закрыт</t>
  </si>
  <si>
    <t>нет</t>
  </si>
  <si>
    <t>да</t>
  </si>
  <si>
    <t xml:space="preserve">Группировка статей по направлениям </t>
  </si>
  <si>
    <t>Статья учета\планирования</t>
  </si>
  <si>
    <t>Пример</t>
  </si>
  <si>
    <t>Опер\фин\инвест</t>
  </si>
  <si>
    <t>ТЭП, Продажи</t>
  </si>
  <si>
    <t>Цена продажи, расходы СМР</t>
  </si>
  <si>
    <t>Жилье, офисы</t>
  </si>
  <si>
    <t>редак</t>
  </si>
  <si>
    <t>ЖД, ДОУ, ФОК</t>
  </si>
  <si>
    <t>Доп</t>
  </si>
  <si>
    <t>Меппинг на Виды реализуемой - должна быть корреляция</t>
  </si>
  <si>
    <t>Осн справоч</t>
  </si>
  <si>
    <t>-</t>
  </si>
  <si>
    <t>Тип Обс</t>
  </si>
  <si>
    <t>дет справ для Статьи</t>
  </si>
  <si>
    <t>атрибут Обс для меппинга на Вид СМР</t>
  </si>
  <si>
    <t>Вид ОН</t>
  </si>
  <si>
    <t>ритейл</t>
  </si>
  <si>
    <t>01-01</t>
  </si>
  <si>
    <t>01-02</t>
  </si>
  <si>
    <t>01-03</t>
  </si>
  <si>
    <t>…</t>
  </si>
  <si>
    <t>ЖД</t>
  </si>
  <si>
    <t>ТИПА РАЗВОРАЧИВАЕТСЯ НА ВЕСЬ ЭКРАН ДЛЯ ВВОДА</t>
  </si>
  <si>
    <t>Внешний паркинг</t>
  </si>
  <si>
    <t>СОО</t>
  </si>
  <si>
    <t>Кол-во продаж</t>
  </si>
  <si>
    <t>Опер</t>
  </si>
  <si>
    <t>Операционная</t>
  </si>
  <si>
    <t>Финансовая</t>
  </si>
  <si>
    <t>Инвестиционная</t>
  </si>
  <si>
    <t>0</t>
  </si>
  <si>
    <t>1</t>
  </si>
  <si>
    <t>2</t>
  </si>
  <si>
    <t>3</t>
  </si>
  <si>
    <t>9</t>
  </si>
  <si>
    <t>Сроки</t>
  </si>
  <si>
    <t>а может быть разбивка Дтлье ОФИС - в Тушино  (можем забирать через привязку к типу ОбСт)</t>
  </si>
  <si>
    <t>РНВ</t>
  </si>
  <si>
    <t>РНС</t>
  </si>
  <si>
    <t>Срок СМР</t>
  </si>
  <si>
    <t>Начало расчетов</t>
  </si>
  <si>
    <t>Начала проекта</t>
  </si>
  <si>
    <t>Окончание продаж</t>
  </si>
  <si>
    <t>Покупка ЗУ?</t>
  </si>
  <si>
    <t>Подготовительные СМР</t>
  </si>
  <si>
    <t>Изм ВРИ</t>
  </si>
  <si>
    <t>Финансы</t>
  </si>
  <si>
    <t>Прочие поступления %</t>
  </si>
  <si>
    <t>Прочие поступления ЗУ+</t>
  </si>
  <si>
    <t>позже</t>
  </si>
  <si>
    <t>Содержание площадки</t>
  </si>
  <si>
    <t>Дата</t>
  </si>
  <si>
    <t>LF, %</t>
  </si>
  <si>
    <t>КАДАСТРОВЫЙ НОМЕР</t>
  </si>
  <si>
    <t>АРЕНДА / НАЛОГ ЗУ после ввода</t>
  </si>
  <si>
    <t>ПЛОЩАДЬ ЗУ ЖИЛЬЯ</t>
  </si>
  <si>
    <t>ПЛОЩАДЬ ЗУ НЕЖИЛЬЯ</t>
  </si>
  <si>
    <t>Чтение и редактирование</t>
  </si>
  <si>
    <t>Разграничение на чтение на уровне форм (достаточно)</t>
  </si>
  <si>
    <t>Разграничение на редактирование на уровне форм (идеально на уровне показателей)</t>
  </si>
  <si>
    <t>Управление версиями моделей (восстановить, удалить\архивировать, скопировать, сделать базовой)</t>
  </si>
  <si>
    <t>Редактирование "глобальных" справочников (список проектов, общих статей и меппингов)</t>
  </si>
  <si>
    <t>Разграничение - да\нет редактирование справочников и табли использования\соответствия по конкретному проекту (обьект строительства, матрица использования статей)</t>
  </si>
  <si>
    <t>Управление импортом и экспортом данных</t>
  </si>
  <si>
    <t>Управление пользователями (назначение ролей и разрешений)</t>
  </si>
  <si>
    <t>Управление общими настройками и администрирование тп</t>
  </si>
  <si>
    <t>Управление общим импортом и экспортом данных</t>
  </si>
  <si>
    <t>Разграничение по проектам, в т.ч. внутри проекта</t>
  </si>
  <si>
    <t>Суперадмин</t>
  </si>
  <si>
    <t>Минимальная</t>
  </si>
  <si>
    <t>Сценарий работы (общая логика и предназначение)</t>
  </si>
  <si>
    <t>Концепт (функ требования)</t>
  </si>
  <si>
    <t>Требования к структуре данных</t>
  </si>
  <si>
    <t>Финансовые модели делаются по проектам 1-1.</t>
  </si>
  <si>
    <t>Финасовая модель проекта вводится по статьям которые можно группировать по разделам (см формы) - Технические, финансовые и сроки.</t>
  </si>
  <si>
    <t xml:space="preserve">Детализация статей может быть </t>
  </si>
  <si>
    <t>иерархической</t>
  </si>
  <si>
    <t>детализроваться доп аналитикой\справочников (которые динамические в том числе</t>
  </si>
  <si>
    <t>а)</t>
  </si>
  <si>
    <t>б)</t>
  </si>
  <si>
    <t xml:space="preserve">Значение в зависимости от статьи и типа может вводится итого либо в разбивке к периодам (значение ИТОГО может быть сумма значений периодов, может быть расчетным через другие показателей, либо суммой по иерархии аналитики\статей). Например, ИТОГО продажи, Средневзвешенная цена, Выручка по всем видам квартир </t>
  </si>
  <si>
    <t>Значение  по статей может вводиться по проекту-очереди\пк - урбанблоку\строению. Это может меняться в ходе проекта(</t>
  </si>
  <si>
    <t>Значения могут быть плановые и фактические, версия содержащая факт и перепланированный план до конца проекту  - это прогноз</t>
  </si>
  <si>
    <t>Даже если всегда пересчитывать и дать возможномть задавать драйвера, надо показывать шде это первчиный факт и где распредленный.</t>
  </si>
  <si>
    <t xml:space="preserve">Ключевая задача дать возможность выбирать комбинации аналитик, а также управлять ее - на уровне ввода. </t>
  </si>
  <si>
    <t>Открытый вопрос как отслеивать ее на разных уровнях во времение \ переразносить , а также еще синхронизировать в измерении план-факт</t>
  </si>
  <si>
    <t>Вопрос к ИТ</t>
  </si>
  <si>
    <t>Сильно напоминает SAP BI IP)</t>
  </si>
  <si>
    <t>Разграничение по разделам ИТ решения</t>
  </si>
  <si>
    <t>Целевая модель (требования)</t>
  </si>
  <si>
    <t>Админ</t>
  </si>
  <si>
    <t>в идеале иметь возможность накладывать матрично</t>
  </si>
  <si>
    <t>Этап 1</t>
  </si>
  <si>
    <t>Структура данных для хранения и ввода (режим Dash)</t>
  </si>
  <si>
    <t>Просмотр и ввод данных по периодам</t>
  </si>
  <si>
    <t>Версионность сохранения</t>
  </si>
  <si>
    <t>Базовые статьи и аналитики - утв</t>
  </si>
  <si>
    <t>Формирование ЧПД и тп</t>
  </si>
  <si>
    <t>Этап 2</t>
  </si>
  <si>
    <t>Сценарное моделирование</t>
  </si>
  <si>
    <t>Согласовать базовый интерфейс модели, аналитики, базовая ИТ техника (хранения данных)</t>
  </si>
  <si>
    <t>Этап 3</t>
  </si>
  <si>
    <t>Сценарное моделирование и сравнительный анализ (серийный) и расширенный ИИ</t>
  </si>
  <si>
    <t>ИИ по проекту и дешбоарды\отчетность, в т.ч. между моделями</t>
  </si>
  <si>
    <t>Ввод моделей по всем проектам</t>
  </si>
  <si>
    <t>Дешбоарды по проекту и портфелю</t>
  </si>
  <si>
    <t>"Ручное" моделирование\ввод = ввод всех моделей по проектам</t>
  </si>
  <si>
    <t>Интеграция с источниками данных, факта и тп</t>
  </si>
  <si>
    <t>ИИ по проекту (контроль ввода, поиск информации, сравнение)</t>
  </si>
  <si>
    <t>ИИ ассистент по порфтелю (интерактив)</t>
  </si>
  <si>
    <t>Этап 4</t>
  </si>
  <si>
    <t>Перенос данных проектов и запуск ИИ</t>
  </si>
  <si>
    <t>Этап 01</t>
  </si>
  <si>
    <t>Проект</t>
  </si>
  <si>
    <t>ПК</t>
  </si>
  <si>
    <t>УБ</t>
  </si>
  <si>
    <t>ВВОД</t>
  </si>
  <si>
    <t>ИТОГО</t>
  </si>
  <si>
    <t>ПСН</t>
  </si>
  <si>
    <t>Если считаем плозади от ГНС, то на до забирать и вводить еще два лостфактора МР</t>
  </si>
  <si>
    <t>ПЛОЩАДЬ ЛОТОВ ВВЕДЕМ</t>
  </si>
  <si>
    <t>А ММ В ШТУКАХ ПРОДАВАТЬ ВСЕ ТАКИ</t>
  </si>
  <si>
    <t>Проектирование (К+П)</t>
  </si>
  <si>
    <t>Проектирование (РД)</t>
  </si>
  <si>
    <t>Согласования и изыскания</t>
  </si>
  <si>
    <t>Благоустройство общее</t>
  </si>
  <si>
    <t>СМР прочих обьектов</t>
  </si>
  <si>
    <t>СМР дорожной сети</t>
  </si>
  <si>
    <t>СМР сетей и тех присоединение</t>
  </si>
  <si>
    <t>Мониторинг</t>
  </si>
  <si>
    <t>Управление проектом</t>
  </si>
  <si>
    <t>Непредвиденные расходы</t>
  </si>
  <si>
    <t>x</t>
  </si>
  <si>
    <t>Конструктор ЧДП - выбор какие выплаты брат ьс проекта и распрдеелять например на этот ПК при построении отчета\расчета по ЧДП)))))</t>
  </si>
  <si>
    <t>расчет (обычно)</t>
  </si>
  <si>
    <t>ГНС наземная площадь</t>
  </si>
  <si>
    <t>Реклама и маркетинг</t>
  </si>
  <si>
    <t>Брокеридж</t>
  </si>
  <si>
    <t>Управление продажами</t>
  </si>
  <si>
    <t>Регистрация договоров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</si>
  <si>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</si>
  <si>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</si>
  <si>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</si>
  <si>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</si>
  <si>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</si>
  <si>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</si>
  <si>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</si>
  <si>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</si>
  <si>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</si>
  <si>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ЗУ</t>
  </si>
  <si>
    <t>Плотность</t>
  </si>
  <si>
    <t>по сути виды отдельных обьектов\сооружений проекта, которые строятся\вводятся обособлено = обьектов строительства. В идеале являются сквозной аналитикой управления в графиках, планирования и учета (смета, тендер, договор, бух учет, Рнв и тп)</t>
  </si>
  <si>
    <r>
      <rPr>
        <b/>
        <sz val="11"/>
        <color theme="1"/>
        <rFont val="Aptos Narrow"/>
        <family val="2"/>
        <scheme val="minor"/>
      </rPr>
      <t xml:space="preserve">Вид реализуемой продукции. </t>
    </r>
    <r>
      <rPr>
        <sz val="11"/>
        <color theme="1"/>
        <rFont val="Aptos Narrow"/>
        <family val="2"/>
        <charset val="204"/>
        <scheme val="minor"/>
      </rPr>
      <t>Виды обьектов недвижимости с точки зрения их предназначения (безотносительно их расположения - могут находится внутри разных обьектов строительства)</t>
    </r>
  </si>
  <si>
    <r>
      <rPr>
        <b/>
        <sz val="11"/>
        <color theme="1"/>
        <rFont val="Aptos Narrow"/>
        <family val="2"/>
        <scheme val="minor"/>
      </rPr>
      <t xml:space="preserve">Виды обьектов производимой продукции. </t>
    </r>
    <r>
      <rPr>
        <sz val="11"/>
        <color theme="1"/>
        <rFont val="Aptos Narrow"/>
        <family val="2"/>
        <charset val="204"/>
        <scheme val="minor"/>
      </rPr>
      <t>Классификация возводимых в рамках проекта обособленных обьектов\сооружений с точки зрения их использования\основного назначения</t>
    </r>
  </si>
  <si>
    <t>Вид деятельности CF</t>
  </si>
  <si>
    <t>Поступления по аренде</t>
  </si>
  <si>
    <t>Поступления по услугам эксплуатации</t>
  </si>
  <si>
    <t>Реализация основных средств</t>
  </si>
  <si>
    <t>LF стены, %</t>
  </si>
  <si>
    <t>Выкуп зу / смена ври</t>
  </si>
  <si>
    <t>Аренда / налог зу</t>
  </si>
  <si>
    <t>Прочие расходы по зу</t>
  </si>
  <si>
    <t>Площадь лота средняя</t>
  </si>
  <si>
    <t>ПОКАЗАТЕЛИ ДЛЯ РАСЧЕТОВ (калькуляции статей) + доп показателей для альтернативного расчета и ввода</t>
  </si>
  <si>
    <t>x? Или балансируем по каждому корпусу продажи всетаки</t>
  </si>
  <si>
    <t>НАЛОГ НА ПРИБЫЛЬ</t>
  </si>
  <si>
    <t>НДС</t>
  </si>
  <si>
    <t>НАЛОГ НА ИМУЩЕСТВО</t>
  </si>
  <si>
    <t>КС имущества от рынка</t>
  </si>
  <si>
    <t>КЛЮЧЕВАЯ СТАВКА</t>
  </si>
  <si>
    <t>СТАВКА АРЕНДЫ</t>
  </si>
  <si>
    <t>СТАВКА НАЛОГА ЗУ</t>
  </si>
  <si>
    <t>СТАВКА РАССРОЧКИ ВРИ</t>
  </si>
  <si>
    <t>Dashboard</t>
  </si>
  <si>
    <t>Формы ввода</t>
  </si>
  <si>
    <t>=</t>
  </si>
  <si>
    <t>Общие справочники</t>
  </si>
  <si>
    <t>ОТЧЕТНОСТЬ</t>
  </si>
  <si>
    <t>Контроли ИИ</t>
  </si>
  <si>
    <t>ЛОГИЧЕСКИЕ БЛОКИ</t>
  </si>
  <si>
    <t>Хранение данных (показатели и методика расчетов)</t>
  </si>
  <si>
    <t>Методика план и учета (аллокации,распред расходов по проекту)</t>
  </si>
  <si>
    <t>Меппинг - + план (шлюз\импорт)</t>
  </si>
  <si>
    <t>Накопит ведомость\методика\аналитика + Интеграция</t>
  </si>
  <si>
    <t>Интеграция онлайн ИИ ассистент</t>
  </si>
  <si>
    <t>Общие настройки и права\роли</t>
  </si>
  <si>
    <t>Вопрос отчетности по Юр лицам</t>
  </si>
  <si>
    <t>Необходим CJM + дизайн</t>
  </si>
  <si>
    <t xml:space="preserve">Структура опер показателей для работы ИТ </t>
  </si>
  <si>
    <t>Структура фин показателей и расписывание логики блоков расчетов\ + спроектировать фин набор отчетности для учета в ФМ сразу</t>
  </si>
  <si>
    <t xml:space="preserve">Далее </t>
  </si>
  <si>
    <t>Выбор стека ИТ и старт ИТ разработки (притирка постановки задач и сопровождения и сдачи результатов)</t>
  </si>
  <si>
    <t>Выплаты</t>
  </si>
  <si>
    <t>Фин</t>
  </si>
  <si>
    <t>Банковские</t>
  </si>
  <si>
    <t>Финансирование</t>
  </si>
  <si>
    <t>ЧДП</t>
  </si>
  <si>
    <t>Участники</t>
  </si>
  <si>
    <t>Библиотеки - Модули калькуляции (доп расчеты при изм данных Налоги, ЗУ, Продажи, и тп)</t>
  </si>
  <si>
    <t>Методика сбора факта + факт (шлюзы) или формы распрделения*</t>
  </si>
  <si>
    <t>Сумма</t>
  </si>
  <si>
    <t>Период</t>
  </si>
  <si>
    <t>Статья оборотов</t>
  </si>
  <si>
    <t>Организация</t>
  </si>
  <si>
    <t>Контрагент</t>
  </si>
  <si>
    <t>Договор контрагента</t>
  </si>
  <si>
    <t>Код договора</t>
  </si>
  <si>
    <t>Банковский счет</t>
  </si>
  <si>
    <t>Валюта</t>
  </si>
  <si>
    <t>Курс</t>
  </si>
  <si>
    <t>НазначениеПлатежа</t>
  </si>
  <si>
    <t>Регистратор</t>
  </si>
  <si>
    <t>Приход в валюте</t>
  </si>
  <si>
    <t>Расход в валюте</t>
  </si>
  <si>
    <t>Приход в рублях</t>
  </si>
  <si>
    <t>Расход в рублях</t>
  </si>
  <si>
    <t>* детал - банковская платежка 1С БИТ</t>
  </si>
  <si>
    <t>* еще измерение план-факт Контрагент\Договор(</t>
  </si>
  <si>
    <t>* еще измерение РАБОТА (ввод ручной) - кастомная детализация Статья</t>
  </si>
  <si>
    <t>Вомозможен меппинг на работу (ане комбинацию Контрганет Договор</t>
  </si>
  <si>
    <t>СМР отделка</t>
  </si>
  <si>
    <t>МЕС</t>
  </si>
  <si>
    <t>м1</t>
  </si>
  <si>
    <t>м3</t>
  </si>
  <si>
    <t>м4</t>
  </si>
  <si>
    <t>При вводе если итого больше целевого ИТОГО - уменьшать последний месяц</t>
  </si>
  <si>
    <t>не для продажи</t>
  </si>
  <si>
    <t>ФОК</t>
  </si>
  <si>
    <t>ТЦ</t>
  </si>
  <si>
    <t>Скалодром</t>
  </si>
  <si>
    <t>Ритейл</t>
  </si>
  <si>
    <t>Дата старта Продаж</t>
  </si>
  <si>
    <t>00-0-01</t>
  </si>
  <si>
    <t>00-0-02</t>
  </si>
  <si>
    <t>00-0-</t>
  </si>
  <si>
    <t>Расчет</t>
  </si>
  <si>
    <t>10</t>
  </si>
  <si>
    <t>Ввод</t>
  </si>
  <si>
    <t>Вопрос можно ли вводить значение на ПК и на проект одновременно - *на узел и элементы группы? (или например в наостйках выбираем проекта и все - далее меняешь но потеряешь введенные ранее узлы)</t>
  </si>
  <si>
    <t>Площадь ЗУ по проекту или по ПК или обьекта</t>
  </si>
  <si>
    <t>Всего ГНС по проекту</t>
  </si>
  <si>
    <t>Площадь ЗУ 1</t>
  </si>
  <si>
    <t>ПК1</t>
  </si>
  <si>
    <t>Площадь ЗУ 2</t>
  </si>
  <si>
    <t>ПК2</t>
  </si>
  <si>
    <t>Площадь ЗУ 1'</t>
  </si>
  <si>
    <t>Площадь ЗУ 2"</t>
  </si>
  <si>
    <t>32-872793843-04953-45e</t>
  </si>
  <si>
    <t>32-872793843-04953-455daw</t>
  </si>
  <si>
    <t>ПРОЕКТ</t>
  </si>
  <si>
    <t xml:space="preserve"> УБ1</t>
  </si>
  <si>
    <t>Вводим условно на проект по номерам участки и далее рапсрдел по ПК и храним по ПК1</t>
  </si>
  <si>
    <t>завязать их друг на друга</t>
  </si>
  <si>
    <t>ВСЕМ ОСТАЛЬНЫМ ФИНАНСГВЫМ ПЫТАЕМСЯ СДЕЛАТЬ НОКПКУЦ С ДОП ВВОДОМ _ ТИПА КПАЬЛЯЛТОР _ ВВЕДИ РАСЦЕНКУ И ВЫВОДИМ ДРАЙЫЕР ИЛИ СРАЗУ ВВЕДИ ИТОГО ПО ПРОЕКТИРОВАНИЮ НАПРИМЕР.</t>
  </si>
  <si>
    <t>Пока вводим цены и все вручную а потом сделать РАСЧЕТ РАССРОЧКИ *НАПРИМЕР МЫ ВВОДИМ % ПВ И % РАССЧРОКИ и цены уже из модели кулешова (типа взвешенные) - чтобы посичтать поток
Отдельно расчет расрочки и доля продаж в рассрочку, ПВ, Срок, % прироста цены для рассрочки - доп параметр - по видам ОН</t>
  </si>
  <si>
    <t>цена</t>
  </si>
  <si>
    <t>контакрация</t>
  </si>
  <si>
    <t>ПОСТУПЛЕНИЯ</t>
  </si>
  <si>
    <t>% ДОЛЯ РАССЧРОКИ</t>
  </si>
  <si>
    <t>обьем продаж</t>
  </si>
  <si>
    <t>прямые</t>
  </si>
  <si>
    <t>расрчоки</t>
  </si>
  <si>
    <t>% обьеме</t>
  </si>
  <si>
    <t>% продаж</t>
  </si>
  <si>
    <t xml:space="preserve">вводим его </t>
  </si>
  <si>
    <t>Долря расчроки в обьеме продажа и в  поступления разные вещи - сейчас они вводят в постулпении его, а формально надо рассчитывать от % в обьеме через расчет кулешова.</t>
  </si>
  <si>
    <t>Пока решили чтов CF вводим долю рассчроки в ОБЬЕМЕ а не поступления (хотя показатель вразделе поступления)</t>
  </si>
  <si>
    <t>в расчетах обьема продаж и цены - судя по всему нет все таки лимита на емкость олкации( тупо размазывают на 4 года обьем:)))</t>
  </si>
  <si>
    <t>Ключевые измерения для ввода данных по модели: Форма\Статья\"Работа"  - Проект\ПК\Урбанблок - Период\Бюджет(ИТОГО) - План\факт - Юрлица</t>
  </si>
  <si>
    <t>01-0-02</t>
  </si>
  <si>
    <t>Линейно</t>
  </si>
  <si>
    <t>Итого офисов, м2</t>
  </si>
  <si>
    <t>00-010-</t>
  </si>
  <si>
    <t>Дата страта прлдаж по данному ПК</t>
  </si>
  <si>
    <t>Кол-во м2 в месяц</t>
  </si>
  <si>
    <t>в разерез ПК в месяц = итого метров поделить пока колзво м2 не закончится</t>
  </si>
  <si>
    <t>май 20255</t>
  </si>
  <si>
    <t>..</t>
  </si>
  <si>
    <t>.</t>
  </si>
  <si>
    <t>Взодные данные</t>
  </si>
  <si>
    <t>МНОГО СЛОВО ПО АЛГОРИТМЫ _ ЧТОБЫ ПОНЯТ ЬСУТЬ И ЦЕЛЬ</t>
  </si>
  <si>
    <t>Прочие опер поступления</t>
  </si>
  <si>
    <t>X</t>
  </si>
  <si>
    <t>Проект - ПК-УБ</t>
  </si>
  <si>
    <t>Список основных показателей (все вводные и ключевые для расчетов) + матрица применения аналитик (измерения хранения)</t>
  </si>
  <si>
    <t>месяц</t>
  </si>
  <si>
    <t>План-факт</t>
  </si>
  <si>
    <t>Юр лиц</t>
  </si>
  <si>
    <t>Ф</t>
  </si>
  <si>
    <t>Инвестор</t>
  </si>
  <si>
    <t>Группа показателей</t>
  </si>
  <si>
    <t>ВОПРОС как вибвать и сохранять если вначале был ПРОЕКТ а потом вдруг ПК.. Иди делать всегда нулевой ПК который распрделяется всегда? И вносим по ПК</t>
  </si>
  <si>
    <t>метод расчета при разных уровнях(</t>
  </si>
  <si>
    <t>ввод\расчет</t>
  </si>
  <si>
    <t>Уч1</t>
  </si>
  <si>
    <t>Уч2</t>
  </si>
  <si>
    <t>Участки</t>
  </si>
  <si>
    <t>N</t>
  </si>
  <si>
    <t>Кадастровый номер</t>
  </si>
  <si>
    <t>ввод\сумма при детализации</t>
  </si>
  <si>
    <t>делать вирт</t>
  </si>
  <si>
    <t>№</t>
  </si>
  <si>
    <t>пока ввод,а так расчет через БК</t>
  </si>
  <si>
    <t>00-01</t>
  </si>
  <si>
    <t>00-02</t>
  </si>
  <si>
    <t>00-03</t>
  </si>
  <si>
    <t>00-04</t>
  </si>
  <si>
    <t>00-05</t>
  </si>
  <si>
    <t>00-06</t>
  </si>
  <si>
    <t>00-07</t>
  </si>
  <si>
    <t>00-08</t>
  </si>
  <si>
    <t>11</t>
  </si>
  <si>
    <t>12</t>
  </si>
  <si>
    <t>13</t>
  </si>
  <si>
    <t>14</t>
  </si>
  <si>
    <t>15</t>
  </si>
  <si>
    <t>КОД</t>
  </si>
  <si>
    <t>Цена продаж</t>
  </si>
  <si>
    <t>01-</t>
  </si>
  <si>
    <t>01-04</t>
  </si>
  <si>
    <t>02-01</t>
  </si>
  <si>
    <t>02-</t>
  </si>
  <si>
    <t>02-02</t>
  </si>
  <si>
    <t>02-03</t>
  </si>
  <si>
    <t>02-04</t>
  </si>
  <si>
    <t>02-05</t>
  </si>
  <si>
    <t>02-06</t>
  </si>
  <si>
    <t>02-07</t>
  </si>
  <si>
    <t>03-01</t>
  </si>
  <si>
    <t>03-02</t>
  </si>
  <si>
    <t>03-03</t>
  </si>
  <si>
    <t>03-04</t>
  </si>
  <si>
    <t>04-01</t>
  </si>
  <si>
    <t>04-02</t>
  </si>
  <si>
    <t>04-03</t>
  </si>
  <si>
    <t>05-04</t>
  </si>
  <si>
    <t>05-05</t>
  </si>
  <si>
    <t>05-06</t>
  </si>
  <si>
    <t>05-07</t>
  </si>
  <si>
    <t>05-08</t>
  </si>
  <si>
    <t>05-</t>
  </si>
  <si>
    <t>05-09</t>
  </si>
  <si>
    <t>05-10</t>
  </si>
  <si>
    <t>05-11</t>
  </si>
  <si>
    <t>05-12</t>
  </si>
  <si>
    <t>05-13</t>
  </si>
  <si>
    <t>05-14</t>
  </si>
  <si>
    <t>05-15</t>
  </si>
  <si>
    <t>06-01</t>
  </si>
  <si>
    <t>06-02</t>
  </si>
  <si>
    <t>06-03</t>
  </si>
  <si>
    <t>Прочие АХР</t>
  </si>
  <si>
    <t>шагн 1</t>
  </si>
  <si>
    <t>ша2</t>
  </si>
  <si>
    <t>шан 2</t>
  </si>
  <si>
    <t>проект СЧИТАЕМ ДИНАМИЧЕСКИ! По ИРЕРАЗИИ ПРОЕКТ_ПК</t>
  </si>
  <si>
    <t>Важно где то писать и фксировать какие затраты раскидывать и не раскидывать по измерениям при налчии ГДЕТО ПОЛЬЗОВАТЕЛЬ И СИСТЕМА ДОЛЖНА ЛИБО ИКИРОСВАТЬ ПОЛЬЗОВАЕОЬ _ ЛИБО РЕШАТЬ СИСТЕМА И ЭТИ ПРАВИЛА ПРОПИСАТЬ</t>
  </si>
  <si>
    <t>1 пример как описываем калькуляции - каждый расчет</t>
  </si>
  <si>
    <t>2 пример почему вводить важно долб расрочки вимеено в оьеме!!! И по дееи описат ькак счиаттьется показатель тут ПОСТУПЛЕНИЯ (его нельзя вводить (делаем только расчетным</t>
  </si>
  <si>
    <t>контроль ИИ (вохможно здесть общие, а на формах уже проверки ввода</t>
  </si>
  <si>
    <t>Контроль ввода и ИИ</t>
  </si>
  <si>
    <t>Ввод\Расчет</t>
  </si>
  <si>
    <t>ВВОД, десятичное число</t>
  </si>
  <si>
    <t xml:space="preserve"> = ВВОД
 = 00-04 / 00-01</t>
  </si>
  <si>
    <t xml:space="preserve"> =  (+ -)  00-04</t>
  </si>
  <si>
    <t xml:space="preserve"> =  (+ -)  00-01 * 00-02,</t>
  </si>
  <si>
    <t xml:space="preserve"> = ВВОД</t>
  </si>
  <si>
    <t>Настройка справочников</t>
  </si>
  <si>
    <t>Настройка распределения</t>
  </si>
  <si>
    <t>Ролевая модель</t>
  </si>
  <si>
    <t>нояб</t>
  </si>
  <si>
    <t>дек</t>
  </si>
  <si>
    <t>опер</t>
  </si>
  <si>
    <t>фин</t>
  </si>
  <si>
    <t>янв</t>
  </si>
  <si>
    <t>февр</t>
  </si>
  <si>
    <t>март</t>
  </si>
  <si>
    <t>апрель</t>
  </si>
  <si>
    <t>май</t>
  </si>
  <si>
    <t>Дизайн система и схема экранов</t>
  </si>
  <si>
    <t>Методика загрузка факта и плана</t>
  </si>
  <si>
    <t>Библиотеки - Механика пересчета опер и инвест статей  - линейно\эпюры</t>
  </si>
  <si>
    <t>Библиотеки - Механика пересчета (налоги, ври, % и тп)</t>
  </si>
  <si>
    <t>ИИ контроль + метод и источники для сверки</t>
  </si>
  <si>
    <t>ИТ</t>
  </si>
  <si>
    <t>ИТ реализация и тестирование</t>
  </si>
  <si>
    <t>ИТ +тест</t>
  </si>
  <si>
    <t>Внешняя интеграция</t>
  </si>
  <si>
    <t>Фантазии</t>
  </si>
  <si>
    <t>Космос</t>
  </si>
  <si>
    <t>Просмотр и ввод факта ручную пока</t>
  </si>
  <si>
    <t>июнь</t>
  </si>
  <si>
    <t>версия ОПТИМИСТ</t>
  </si>
  <si>
    <t>Рабочее понимание спринтов (2-3 недель) ДРАФТ</t>
  </si>
  <si>
    <t>схема и мокап</t>
  </si>
  <si>
    <t>design front MVP</t>
  </si>
  <si>
    <t>пп</t>
  </si>
  <si>
    <t>Драйвер</t>
  </si>
  <si>
    <t xml:space="preserve"> ="00-05"+"00-04"</t>
  </si>
  <si>
    <t>Формула</t>
  </si>
  <si>
    <t>Расценка</t>
  </si>
  <si>
    <t>Всего общих м2</t>
  </si>
  <si>
    <t>Матрица соответствия драйверов по показетелям! И ед изм</t>
  </si>
  <si>
    <r>
      <rPr>
        <b/>
        <sz val="11"/>
        <color theme="1"/>
        <rFont val="Aptos Narrow"/>
        <family val="2"/>
        <scheme val="minor"/>
      </rPr>
      <t xml:space="preserve"> = Ручной ввод </t>
    </r>
    <r>
      <rPr>
        <sz val="11"/>
        <color theme="1"/>
        <rFont val="Aptos Narrow"/>
        <family val="2"/>
        <charset val="204"/>
        <scheme val="minor"/>
      </rPr>
      <t xml:space="preserve">
 = Даты ввода РНС +- какое то значение</t>
    </r>
  </si>
  <si>
    <r>
      <rPr>
        <b/>
        <sz val="12"/>
        <color theme="1"/>
        <rFont val="Aptos Narrow"/>
        <family val="2"/>
        <scheme val="minor"/>
      </rPr>
      <t>И</t>
    </r>
    <r>
      <rPr>
        <sz val="12"/>
        <color theme="1"/>
        <rFont val="Aptos Narrow"/>
        <family val="2"/>
        <scheme val="minor"/>
      </rPr>
      <t>ТОГО</t>
    </r>
  </si>
  <si>
    <r>
      <rPr>
        <b/>
        <sz val="12"/>
        <color theme="1"/>
        <rFont val="Aptos Narrow"/>
        <family val="2"/>
        <scheme val="minor"/>
      </rPr>
      <t>П</t>
    </r>
    <r>
      <rPr>
        <sz val="12"/>
        <color theme="1"/>
        <rFont val="Aptos Narrow"/>
        <family val="2"/>
        <scheme val="minor"/>
      </rPr>
      <t>ериод</t>
    </r>
  </si>
  <si>
    <t>Всего продаваемых м2</t>
  </si>
  <si>
    <t>Справочники проекта+матрицы</t>
  </si>
  <si>
    <t>ТЕКУЩИЕ ПРИОРИТЕТЫ</t>
  </si>
  <si>
    <t>Детализация факта</t>
  </si>
  <si>
    <t>Библиотеки - Модули калькуляции</t>
  </si>
  <si>
    <t>ПРОДАЖИ</t>
  </si>
  <si>
    <t>НАЗЕМНАЯ ЧАСТЬ</t>
  </si>
  <si>
    <t>ПОДЗЕМНАЯ ЧАСТЬ</t>
  </si>
  <si>
    <t>ДОПОЛНИТЕЛЬНЫЙ ВЫКУП ЗУ</t>
  </si>
  <si>
    <t>Дата РНС</t>
  </si>
  <si>
    <t>Дата РНВ</t>
  </si>
  <si>
    <t>Дата СМР</t>
  </si>
  <si>
    <t>ИНВЕСТИЦИИ</t>
  </si>
  <si>
    <t>ВИД ПРАВА</t>
  </si>
  <si>
    <t>Дата ИРД</t>
  </si>
  <si>
    <t>ВХОД</t>
  </si>
  <si>
    <t>Дата продажи</t>
  </si>
  <si>
    <t>ЗЕМЕЛЬНО-ПРАВОВЫЕ ВОПРОСЫ</t>
  </si>
  <si>
    <t>ПЛОЩАДЬ ЗУ</t>
  </si>
  <si>
    <t>ВЛОЖЕНИЯ В СТРОИТЕЛЬСТВО</t>
  </si>
  <si>
    <t>УДЕЛЬНАЯ ТЕКУЩАЯ КС</t>
  </si>
  <si>
    <t>ПРОЕКТИРОВАНИЕ (К+П+РД)</t>
  </si>
  <si>
    <t>СОГЛАСОВАНИЯ</t>
  </si>
  <si>
    <t>СМР жилье</t>
  </si>
  <si>
    <t>СМР офисы</t>
  </si>
  <si>
    <t>СМР ТЦ</t>
  </si>
  <si>
    <t>СМР соц. объектов и компенсация</t>
  </si>
  <si>
    <t>УСТРОЙСТВО УДС</t>
  </si>
  <si>
    <t>СЕТИ</t>
  </si>
  <si>
    <t>СОДЕРЖАНИЕ ПЛОЩАДКИ</t>
  </si>
  <si>
    <t>МОНИТОРИНГИ</t>
  </si>
  <si>
    <t>НЕПРЕДВИДЕННЫЕ РАСХОДЫ</t>
  </si>
  <si>
    <t>УПРАВЛЕНИЕ ПРОЕКТОМ</t>
  </si>
  <si>
    <t>РАСХОДЫ НА ПРОДАЖУ</t>
  </si>
  <si>
    <t>РЕКЛАМА И МАРКЕТИНГ</t>
  </si>
  <si>
    <t>БРОКЕРИДЖ</t>
  </si>
  <si>
    <t>УПРАВЛЕНИЕ ПРОДАЖАМИ</t>
  </si>
  <si>
    <t>РЕГИСТРАЦИЯ ДОГОВОРОВ</t>
  </si>
  <si>
    <t>АРЕНДА / НАЛОГ ЗУ</t>
  </si>
  <si>
    <t>ФИНАНСИРОВАНИЕ</t>
  </si>
  <si>
    <t>Расчет динамики цен</t>
  </si>
  <si>
    <t>Расчет динамики обьема продаж</t>
  </si>
  <si>
    <r>
      <rPr>
        <b/>
        <sz val="11"/>
        <color theme="1"/>
        <rFont val="Aptos Narrow"/>
        <family val="2"/>
        <scheme val="minor"/>
      </rPr>
      <t xml:space="preserve">0. Ручной
1. Импорт извне
2. Линейно.ИТОГО указывам кол-во продаж в месяц и далее равномерно с даты старта продаж пока не будут проданы все
</t>
    </r>
    <r>
      <rPr>
        <sz val="11"/>
        <color theme="1"/>
        <rFont val="Aptos Narrow"/>
        <family val="2"/>
        <scheme val="minor"/>
      </rPr>
      <t xml:space="preserve">3. Аналитический расчет (Кулешова по параметрам)
4. Эпюра
5. Изм ИТОГО также снимаем\добавляем с конца </t>
    </r>
  </si>
  <si>
    <r>
      <t xml:space="preserve">0. Ручной
1. Дана нач цена\% дисконта и средневзве.. далее смотрим на обьем продаж (эпюру) распрделяем так чтобы вытий на нее
2. Прирост. Стартовая и  проценты прирорста\лицо впррирост в рублях и колво месяц  (через которые приходит прирост) плюс опции (галочки): цена не меняется с рнв с поле кол-во мес задержки, есть макс цена 
</t>
    </r>
    <r>
      <rPr>
        <sz val="11"/>
        <color theme="1"/>
        <rFont val="Aptos Narrow"/>
        <family val="2"/>
        <scheme val="minor"/>
      </rPr>
      <t xml:space="preserve">3 Линейно MIN MAX. Указываем мин цену и фин цену - а по месяцам линейно считаем
4. Аналитический расчет (Кулешова по параметрам)
5. Эпюра
5. Изм ИТОГО также снимаем\добавляем с конца </t>
    </r>
  </si>
  <si>
    <t>Полезная площадь</t>
  </si>
  <si>
    <t>Сезонность</t>
  </si>
  <si>
    <t>Темп очереди</t>
  </si>
  <si>
    <t>Делят на число</t>
  </si>
  <si>
    <t>Среднее чего?</t>
  </si>
  <si>
    <t>Сред</t>
  </si>
  <si>
    <t>В квартал</t>
  </si>
  <si>
    <t>каждый кв</t>
  </si>
  <si>
    <t>Контрактация</t>
  </si>
  <si>
    <t>руч.ввод</t>
  </si>
  <si>
    <t xml:space="preserve">Доля рассрочки </t>
  </si>
  <si>
    <t>Наценка на рассрочку</t>
  </si>
  <si>
    <t>Старт продаж</t>
  </si>
  <si>
    <t>Цена за м2 с учетом рассрочки</t>
  </si>
  <si>
    <t>Индексация</t>
  </si>
  <si>
    <t>???</t>
  </si>
  <si>
    <t>1-3%</t>
  </si>
  <si>
    <t>Контрактация денежный эк</t>
  </si>
  <si>
    <t>ПОСТУПЛЕНИЯ (до РнВ на эскроу)</t>
  </si>
  <si>
    <t>доля рассрочки</t>
  </si>
  <si>
    <t>рассрочка</t>
  </si>
  <si>
    <t>ПВ</t>
  </si>
  <si>
    <t>остаток</t>
  </si>
  <si>
    <t>поступление остатка</t>
  </si>
  <si>
    <t>%</t>
  </si>
  <si>
    <t>Кол-во кв между РнС и РнВ (Остаток)</t>
  </si>
  <si>
    <t>ГПР</t>
  </si>
  <si>
    <t>Данные для расчетов:</t>
  </si>
  <si>
    <t>код</t>
  </si>
  <si>
    <t>Лист</t>
  </si>
  <si>
    <t>Ф0!B26</t>
  </si>
  <si>
    <t>Ввод данных</t>
  </si>
  <si>
    <t>Вводные данные</t>
  </si>
  <si>
    <t>Автоматически</t>
  </si>
  <si>
    <t>Расчетный</t>
  </si>
  <si>
    <t>ручной ввод</t>
  </si>
  <si>
    <t>Название_1</t>
  </si>
  <si>
    <t>ед.измерения</t>
  </si>
  <si>
    <t>Кол-во периодов</t>
  </si>
  <si>
    <t>число</t>
  </si>
  <si>
    <t>Сезонность Коэффициент</t>
  </si>
  <si>
    <t>Темп очереди Коэффициент</t>
  </si>
  <si>
    <t>= ЕСЛИ(СУММ(( ( "00-07"/ "Д3") * "Д1") * "Д2" по прошлым периода; ( ("00-07" / "Д3") * "Д1") * "Д2" - текущий период )&lt;= "00-07" ; ( ("00-07" / "Д3") * "Д1") * "Д2" - текущий период 
;ЕСЛИ(СУММ( ( ("00-07" / "Д3") * "Д1") * "Д2" - прошлых периодов;( ("00-07" / "Д3") * "Д1") * "Д2" - текущий период )- "00-07" &gt;=0; "00-07" -СУММ(( "00-07" / "Д3") * "Д1") * "Д2" - прошлых периодов);0))</t>
  </si>
  <si>
    <t>Описательная часть расчета</t>
  </si>
  <si>
    <t>Сред.объем продаж за период в м2 умноженный на Сезонность Коэффициент и умноженный на Тем очереди Коэффициент не превышаюший Полной Полезной площади</t>
  </si>
  <si>
    <t>Старт продаж (цена на начало)</t>
  </si>
  <si>
    <t>вводится один раз</t>
  </si>
  <si>
    <t>Дата начала</t>
  </si>
  <si>
    <t>ГРП</t>
  </si>
  <si>
    <t>дата</t>
  </si>
  <si>
    <t>автоматически</t>
  </si>
  <si>
    <t>единожды</t>
  </si>
  <si>
    <t>каждый период</t>
  </si>
  <si>
    <t>Либо возможность выбора на весь период какой-то процент</t>
  </si>
  <si>
    <t>Д5</t>
  </si>
  <si>
    <t>Д6</t>
  </si>
  <si>
    <t>Д7</t>
  </si>
  <si>
    <t>Пример расчета:</t>
  </si>
  <si>
    <t>Если ( "01-01" больше 0 и цена за м2 за прошлый период равно 0, тогда "Сарт продаж"  умноженная на Наценку на рассрочку тек.периода, в противном случае цена за м2 кв за прошлый период деленная на 1- Наценка на рассрочка прошлого периода умноженная на 1+Наценку на рассрочку тек периода умноженная на 1+Индексация тек.периода</t>
  </si>
  <si>
    <t>Контрактация денежный эквивалент</t>
  </si>
  <si>
    <t>3 Поступления (до РнВ на эскроу)</t>
  </si>
  <si>
    <t>Доля рассрочки</t>
  </si>
  <si>
    <t>Д9</t>
  </si>
  <si>
    <t>Д10</t>
  </si>
  <si>
    <t xml:space="preserve">= Доля рассрочки в % умножить на "01-01" </t>
  </si>
  <si>
    <t>Д11</t>
  </si>
  <si>
    <t>Д12</t>
  </si>
  <si>
    <t>Д13</t>
  </si>
  <si>
    <t>= "Д11" умножить на ПВ в %</t>
  </si>
  <si>
    <t>= "Д11" - "Д12"</t>
  </si>
  <si>
    <t>Д14</t>
  </si>
  <si>
    <t>Д15</t>
  </si>
  <si>
    <t>Разница периодов (месяцев/кв) между. РнС и РнВ</t>
  </si>
  <si>
    <t>= "Д13" Деленный на "Д14" плюс поступление остатка за прошлый период</t>
  </si>
  <si>
    <t>Доп.Показатели рассчета</t>
  </si>
  <si>
    <t xml:space="preserve">=  "Д12" + "Д15" + "Д8" умножить на ( 1- "Д9") если  "Д14 "не равно "Нулю" , в противном случае умножить на 1 </t>
  </si>
  <si>
    <t>в разерез ПК в месяц = итого поступления Умножить на % (Реклама и маркетинг) делить на количество месяцев продажи квартир</t>
  </si>
  <si>
    <t>Дата старта</t>
  </si>
  <si>
    <t>Дата окончания</t>
  </si>
  <si>
    <t>Поступления от реализации</t>
  </si>
  <si>
    <t>1 Расчет на Рекламу и маркетинг</t>
  </si>
  <si>
    <t>Расходы на Рекламу и маркетинг расчитываются исходя из суммы продаж и линейно распределяются по периодам  пока не закончится график продаж</t>
  </si>
  <si>
    <t>1 шт Услуга\Товар</t>
  </si>
  <si>
    <t xml:space="preserve"> =1</t>
  </si>
  <si>
    <t xml:space="preserve"> ="00-07"+"00-08"</t>
  </si>
  <si>
    <t>вводится для каждого проекта пользователем!</t>
  </si>
  <si>
    <t>в аналитике Проек-ПК-УБ если применимо</t>
  </si>
  <si>
    <t>Расчет по периодам</t>
  </si>
  <si>
    <t>Логика расчета</t>
  </si>
  <si>
    <t>Фикс в месяц продажи&lt;&gt;0.</t>
  </si>
  <si>
    <t>Макс месяц продаж по данному ПК</t>
  </si>
  <si>
    <t>t1</t>
  </si>
  <si>
    <t>t2</t>
  </si>
  <si>
    <t>ЗНАЧ = ИТОГО / кол-во месяцев в которых продажи были не нулевые. Если продажи ноль в месяце то и ЗНАЧ =0 . Плюс можно указать сдвиг - например= -2 месяца (расходы маркетинга опережают продажи)</t>
  </si>
  <si>
    <t>Сдвиг</t>
  </si>
  <si>
    <t>Сдвиг, мес</t>
  </si>
  <si>
    <t xml:space="preserve">Мин месяц продаж </t>
  </si>
  <si>
    <t>по данному ПК</t>
  </si>
  <si>
    <t>XXX</t>
  </si>
  <si>
    <t>X01</t>
  </si>
  <si>
    <r>
      <rPr>
        <sz val="11"/>
        <color rgb="FFC00000"/>
        <rFont val="Aptos Narrow"/>
        <family val="2"/>
        <scheme val="minor"/>
      </rPr>
      <t>1 - ДЕТАЛИЗАЦИЮ БЕРЕМ ПО СТАТЬЯМ ИЛИ 4 СТАТЬИ ТОЛЬКО ПЛАНИРУЕМ КАК db
Сейчас идет детализация и часть расходов оттаскивается и вводится вручную - например маркетинг до РНС</t>
    </r>
    <r>
      <rPr>
        <sz val="11"/>
        <color theme="1"/>
        <rFont val="Aptos Narrow"/>
        <family val="2"/>
        <charset val="204"/>
        <scheme val="minor"/>
      </rPr>
      <t xml:space="preserve">
2 - КОММ - в ФМ сначала сылаются на поступления - при расчете ИТОГО, а когда по месяцам то маркетинг не ноль если контрактация не ноль в этом месяц- в общем случае может расходится  (надо ссылться везде на контакратцию). ТК контакратация у МР совпадает с Поступлениями итого (не считают выручку Брутто а сразу Нетто, то лучше использовать Контакратаци=продажи везде)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C00000"/>
        <rFont val="Aptos Narrow"/>
        <family val="2"/>
        <scheme val="minor"/>
      </rPr>
      <t>3. КАК ПОСТУПАЕМ ПО МЕТОДИКЕ ЕСЛИ БЫЛ ФАКТ РАСХОДОВ НАПРИМЕР по 1,5% первые 2 месяца, а на оставшиеся месяца счиатем все также по нормативу или пытаемся нагнать и выйти на итоговый на 2,5% от всего</t>
    </r>
  </si>
  <si>
    <t>МЕТОД ввода по месяц</t>
  </si>
  <si>
    <t xml:space="preserve"> ОТТАСКИВАНИЕ (в прицнипе часто использвуется надо подумать может придумать механику защищенной ячейки  0 в принципе будет работать как фактическая по сути но пановая, т.к. должны из планово суммы для распред вычитаться)- Когда часть вводят в ручную а сотавшую сумму линейно размазываюь - см у МР макертинг до рнс и маркетин уже в проекте</t>
  </si>
  <si>
    <t>DASH</t>
  </si>
  <si>
    <t>Ф0</t>
  </si>
  <si>
    <t>Ф1</t>
  </si>
  <si>
    <t>MAIN</t>
  </si>
  <si>
    <t>Reports</t>
  </si>
  <si>
    <t>DASH BBOДА или-&gt;</t>
  </si>
  <si>
    <t>Изменения - цвет и спобосы индикации (шрифт цвет, иконки и тп): изменилось +-, превышение лимита, ошибка, комментарий</t>
  </si>
  <si>
    <t>Макеты Dash Main</t>
  </si>
  <si>
    <t>Создание проекта</t>
  </si>
  <si>
    <t>Настройка нормативов и расценок</t>
  </si>
  <si>
    <t>Создание модели</t>
  </si>
  <si>
    <t>Формирование показателей</t>
  </si>
  <si>
    <t>I</t>
  </si>
  <si>
    <t>II</t>
  </si>
  <si>
    <t>Ф0БК</t>
  </si>
  <si>
    <t>….</t>
  </si>
  <si>
    <r>
      <t xml:space="preserve">Схема FM  </t>
    </r>
    <r>
      <rPr>
        <b/>
        <sz val="11"/>
        <color rgb="FFC00000"/>
        <rFont val="Aptos Narrow"/>
        <family val="2"/>
        <scheme val="minor"/>
      </rPr>
      <t>(СМ ЛИСТ СХЕМА)</t>
    </r>
  </si>
  <si>
    <t>ОТЧЕТЫ</t>
  </si>
  <si>
    <t>Ближайщие задачи!</t>
  </si>
  <si>
    <t>Схема основных экранов</t>
  </si>
  <si>
    <t>Пятница 11-30</t>
  </si>
  <si>
    <t>Цветовая гамма - темная (постельная коричневый) и светлая (синия, бирюзовая, белая) - можно набор пока скришотов разных программ с цветовым стилем</t>
  </si>
  <si>
    <t>Методика планирования модели - user case logic</t>
  </si>
  <si>
    <t>Настройка (на основе типовых) нормативов и расценок, % ставок, расчетов показателей (формул) если доступно для показателя</t>
  </si>
  <si>
    <t>Выбор уровня ввода и логики расчетов показателей - по уровням измерений (агрегаций)</t>
  </si>
  <si>
    <t>Настройка (создание) справочников для использование в проекте на основе типовых структур: Статей и ед изм, Проект-ПК-ОбСт, Периодичность: мес\квартал, Видов продаваемых ОН, Участков</t>
  </si>
  <si>
    <t>Принятие решении о финасовом моделирование проекта и сбор первичной информации: название краткое\рабочее\коммерческое, отв-ный, срок, информация об участках, застройщик, адрес, описание</t>
  </si>
  <si>
    <t>Финансовые расчеты</t>
  </si>
  <si>
    <t>Ввод параметров и справочников</t>
  </si>
  <si>
    <t>Ввод и распределение во времени, если применимо</t>
  </si>
  <si>
    <t>Методы распределения при агрегации и отчетах</t>
  </si>
  <si>
    <t>Ввод и расчеты ИТОГО</t>
  </si>
  <si>
    <t>через БК</t>
  </si>
  <si>
    <t>Нормативы и формулы</t>
  </si>
  <si>
    <t xml:space="preserve"> = "05-*</t>
  </si>
  <si>
    <t>Всего проектирование и строительство с резервом</t>
  </si>
  <si>
    <t xml:space="preserve"> = "05-*+"06-03"</t>
  </si>
  <si>
    <t>Всего проектирование и строительство</t>
  </si>
  <si>
    <t xml:space="preserve"> = Сумма по аналитике Вид ОН</t>
  </si>
  <si>
    <t>&lt; 00-05</t>
  </si>
  <si>
    <t>&lt; 00-04</t>
  </si>
  <si>
    <r>
      <rPr>
        <b/>
        <sz val="11"/>
        <color theme="1"/>
        <rFont val="Aptos Narrow"/>
        <family val="2"/>
        <scheme val="minor"/>
      </rPr>
      <t xml:space="preserve">0. Ручной ввод
1. Фикс в месяц продажи&lt;&gt;0. ЗНАЧ = ИТОГО / кол-во месяцев в которых продажи были не нулевые. Если продажи ноль в месяце то и ЗНАЧ =0. Плюс можно указать сдвиг - например= -2 месяца (расходы маркетинга опережают продажи)
2. Линейно Продажам. ЗНАЧ = ИТОГО ПРОДАЖИ\ИТОГО Маркетинг * Продажи месяца. Плюс можно указать сдвиг - например= -2 месяца (расходы маркетинга опережают продажи)
3. Фикс в месяц за период . ЗНАЧ = ИТОГО/(МАКС месяц продажи - МИН месяц Продажи).  Плюс можно указать сдвиг - например= -2 месяца (расходы маркетинга опережают продажи)
</t>
    </r>
    <r>
      <rPr>
        <sz val="11"/>
        <color theme="1"/>
        <rFont val="Aptos Narrow"/>
        <family val="2"/>
        <scheme val="minor"/>
      </rPr>
      <t>4. Линейно РнС-РнВ. Сумма поступления по продажам * (умножить) на % (Маркетинг и реклама)  и вся сумма делится на количество периодов (РнВ-РнС)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 xml:space="preserve">
4. Эпюра
5. Изм ИТОГО также снимаем\добавляем с конца </t>
    </r>
  </si>
  <si>
    <t>Для себя: При подтягивании факта Контрактации/Поступлений будет автоматически пересчитываться показатель</t>
  </si>
  <si>
    <t>расчет???</t>
  </si>
  <si>
    <r>
      <rPr>
        <b/>
        <sz val="11"/>
        <color theme="1"/>
        <rFont val="Aptos Narrow"/>
        <family val="2"/>
        <scheme val="minor"/>
      </rPr>
      <t xml:space="preserve">0. Ручной ввод
1.   ЗНАЧ  = Сумма тек месяца( (Контрактация м2 / S лота ) по каждому ОН + кол-во Парковочных мест ) * стоимость регистрации договора + если первый месяц РнВ то( (Сумма остатка Контрактация м2 / S лота) по каждому ОН + Сумма кол-ва остатка Парковочных мест ) * стоимость регистрации договора
</t>
    </r>
    <r>
      <rPr>
        <sz val="11"/>
        <color theme="1"/>
        <rFont val="Aptos Narrow"/>
        <family val="2"/>
        <scheme val="minor"/>
      </rPr>
      <t xml:space="preserve">4. Эпюра
5. Изм ИТОГО также снимаем\добавляем с конца </t>
    </r>
  </si>
  <si>
    <t xml:space="preserve"> = ВВОД
 = p03-04-01-03</t>
  </si>
  <si>
    <t xml:space="preserve"> = ВВОД
 = p03-02-01-04</t>
  </si>
  <si>
    <t xml:space="preserve"> = ВВОД
 = p03-03-01-04</t>
  </si>
  <si>
    <t xml:space="preserve"> = ВВОД
 = p03-01-01-04</t>
  </si>
  <si>
    <t>для примера</t>
  </si>
  <si>
    <t>Кадастровая стоимость</t>
  </si>
  <si>
    <t>Проект\ПК\УБ</t>
  </si>
  <si>
    <t>Регион</t>
  </si>
  <si>
    <t>Москва</t>
  </si>
  <si>
    <t>Московская область</t>
  </si>
  <si>
    <t>Краснодар</t>
  </si>
  <si>
    <t>Город</t>
  </si>
  <si>
    <t>шпз</t>
  </si>
  <si>
    <t>Краснодарский край</t>
  </si>
  <si>
    <t>Страна</t>
  </si>
  <si>
    <t>РФ</t>
  </si>
  <si>
    <t>Пушкино</t>
  </si>
  <si>
    <t>Одинцово</t>
  </si>
  <si>
    <t>С</t>
  </si>
  <si>
    <t>Г</t>
  </si>
  <si>
    <t>Т</t>
  </si>
  <si>
    <t>Общая логика планирования</t>
  </si>
  <si>
    <t>Общая логика прогноза (факт+план)</t>
  </si>
  <si>
    <t>Общая логика ПЕРЕ планирования</t>
  </si>
  <si>
    <t>ОСНОВНЫЕ ПРИНЦИПЫ И ЛОГИКИ ПЕРЕСЧЕТОВ</t>
  </si>
  <si>
    <t>Схема работы создания модели</t>
  </si>
  <si>
    <t>Кейсы,</t>
  </si>
  <si>
    <t xml:space="preserve"> поеняли ТЭП норматив, что произошло</t>
  </si>
  <si>
    <t>внес факт в продажи</t>
  </si>
  <si>
    <t>поменял ДАТу РНВ</t>
  </si>
  <si>
    <t>Поменял ставку  норматива - на уаправ проектаом</t>
  </si>
  <si>
    <t>Разибл участки на два</t>
  </si>
  <si>
    <t>Появилось разбивка по ПК</t>
  </si>
  <si>
    <r>
      <rPr>
        <b/>
        <sz val="11"/>
        <color theme="1"/>
        <rFont val="Aptos Narrow"/>
        <family val="2"/>
        <scheme val="minor"/>
      </rPr>
      <t xml:space="preserve">0. Ручной
2. Линейно.ИТОГО указывам кол-во продаж в месяц и далее равномерно с даты старта продаж пока не будут проданы все
</t>
    </r>
    <r>
      <rPr>
        <sz val="11"/>
        <color theme="1"/>
        <rFont val="Aptos Narrow"/>
        <family val="2"/>
        <scheme val="minor"/>
      </rPr>
      <t xml:space="preserve">3. Аналитический расчет (Кулешова по параметрам)
4. Эпюра
5. Изм ИТОГО также снимаем\добавляем с конца </t>
    </r>
  </si>
  <si>
    <t>1кв</t>
  </si>
  <si>
    <t>факт</t>
  </si>
  <si>
    <t>Маркетинг</t>
  </si>
  <si>
    <t>10% с продаж</t>
  </si>
  <si>
    <t xml:space="preserve"> расчет план</t>
  </si>
  <si>
    <t>корр</t>
  </si>
  <si>
    <t>попасть в итого</t>
  </si>
  <si>
    <t>линейно - продолжае по нормативу</t>
  </si>
  <si>
    <t>Формирование прогноза  - пф</t>
  </si>
  <si>
    <t>Есть драйвер ПРОДАЖИ для расчета итого по статье маркетинг</t>
  </si>
  <si>
    <t>1. Расчет ИТОГО по маркетингу солано нормативу - см ли Нормативы</t>
  </si>
  <si>
    <t>2. Расрпдленеи ИТОГо во времени согласно алогритму - см</t>
  </si>
  <si>
    <t>Руччной ввод коррекровки - заключен договор, необходомо чатсь расходов провести раньше или известные даты и конкрутные суммы</t>
  </si>
  <si>
    <t xml:space="preserve">Внесли 25 25 по </t>
  </si>
  <si>
    <t>расчетные</t>
  </si>
  <si>
    <t>план</t>
  </si>
  <si>
    <t>корретировка</t>
  </si>
  <si>
    <t>Тип</t>
  </si>
  <si>
    <t>Вид данных</t>
  </si>
  <si>
    <t>хранение факта по статье</t>
  </si>
  <si>
    <t>Ключевой момент - по каждой статье етсь несолкько типов данных
, при расчете занечения систаьи и контроле ввода данных используются суммыа ныжных типов данных по их видам. ТО ЕСТЬ ДАННЫЕ В РАЗРЕВЕ типов данных!!! В заисимости от того как эти данные получены\вносятся</t>
  </si>
  <si>
    <t>плановые значения по статье полученные расчетным способом</t>
  </si>
  <si>
    <t>плановые значения по статье внесенные вручную ("оттаскивание часть суммы"  - например при заключении договора или явного пониманиия сумм и дат)</t>
  </si>
  <si>
    <t>=Ф3!B5</t>
  </si>
  <si>
    <r>
      <rPr>
        <b/>
        <sz val="11"/>
        <color theme="1"/>
        <rFont val="Aptos Narrow"/>
        <family val="2"/>
        <scheme val="minor"/>
      </rPr>
      <t xml:space="preserve">0. Ручной ввод
1.   ЗНАЧ тек месяца/периода = (Поступления или Контрактация прошлого месяца/периода) * %.  ДДС ссдвиг на +1 месяц/период 
Можно указывать сдвиг
</t>
    </r>
    <r>
      <rPr>
        <sz val="11"/>
        <color theme="1"/>
        <rFont val="Aptos Narrow"/>
        <family val="2"/>
        <scheme val="minor"/>
      </rPr>
      <t xml:space="preserve">4. Эпюра
5. Изм ИТОГО также снимаем\добавляем с конца </t>
    </r>
  </si>
  <si>
    <t>Расходы на Брокеридж расчитываются исходя из суммы продаж со свигом по периодам пока не закончится график продаж</t>
  </si>
  <si>
    <t xml:space="preserve"> ЗНАЧ тек месяца/периода = (Поступления или Контрактация прошлого месяца/периода) * %.  ДДС сдвиг на +1 месяц/период </t>
  </si>
  <si>
    <r>
      <rPr>
        <b/>
        <sz val="11"/>
        <color theme="1"/>
        <rFont val="Aptos Narrow"/>
        <family val="2"/>
        <scheme val="minor"/>
      </rPr>
      <t xml:space="preserve">0. Ручной ввод
1.   ЗНАЧ тек месяца/периода = (Поступления или Контрактация прошлого месяца/периода) * %.  ДДС сдвиг на +1 месяц/период 
Можно указывать сдвиг
</t>
    </r>
    <r>
      <rPr>
        <sz val="11"/>
        <color theme="1"/>
        <rFont val="Aptos Narrow"/>
        <family val="2"/>
        <scheme val="minor"/>
      </rPr>
      <t xml:space="preserve">4. Эпюра
5. Изм ИТОГО также снимаем\добавляем с конца </t>
    </r>
  </si>
  <si>
    <t xml:space="preserve">в разерез ПК в месяц = поступления прошлого месяца Умножить на % (Брокериджа) </t>
  </si>
  <si>
    <t>2 Расчет по Брокериджу</t>
  </si>
  <si>
    <t>Фикс в месяц продажи со сдвигом</t>
  </si>
  <si>
    <t>Расходы на Управление продажами расчитываются исходя из суммы продаж со свигом по периодам пока не закончится график продаж</t>
  </si>
  <si>
    <t xml:space="preserve">ЗНАЧ тек месяца/периода = (Поступления или Контрактация прошлого месяца/периода) * %.  ДДС сдвиг на +1 месяц/период </t>
  </si>
  <si>
    <t>3 Расчет по Управлению продажами</t>
  </si>
  <si>
    <t>4 Расчет по Регистрации договоров</t>
  </si>
  <si>
    <t>Фикс в месяц продажи контрактации &lt;&gt;0</t>
  </si>
  <si>
    <t xml:space="preserve">Расходы на Регистрацию договоров расчитываются исходя из контрактации кол-ва договоров  по периодам пока не закончится график продаж и + в момент получения РнВ сумма остатка контрактации договоров </t>
  </si>
  <si>
    <t>ЗНАЧ  = Сумма тек месяца( (Контрактация м2 / S лота ) по каждому ОН + кол-во Парковочных мест ) * стоимость регистрации договора + если первый месяц РнВ то( (Сумма остатка Контрактация м2 / S лота) по каждому ОН + Сумма кол-ва остатка Парковочных мест ) * стоимость регистрации договора</t>
  </si>
  <si>
    <t xml:space="preserve">в разерез ПК в месяц = поступления прошлого месяца Умножить на % (Управления продажами) </t>
  </si>
  <si>
    <t>Квартиры</t>
  </si>
  <si>
    <t>Паркоместа</t>
  </si>
  <si>
    <t>РнВ</t>
  </si>
  <si>
    <t>в разерез ПК в месяц = Количество продаж Умножить на стоимость Регистрации договора + в момент получения РнВ сумма остатка количества продаж умноженная на стоимость Регистрации договора</t>
  </si>
  <si>
    <t>00-00-00</t>
  </si>
  <si>
    <t>01-01-01</t>
  </si>
  <si>
    <t>01-02-02</t>
  </si>
  <si>
    <t>01-02-03</t>
  </si>
  <si>
    <t>01-03-04</t>
  </si>
  <si>
    <t>02-00-00</t>
  </si>
  <si>
    <t>03-00-00</t>
  </si>
  <si>
    <t>04-00-00</t>
  </si>
  <si>
    <t>--</t>
  </si>
  <si>
    <t>Код</t>
  </si>
  <si>
    <t>Эскиз макета дизайна - набор аналитик</t>
  </si>
  <si>
    <t>продажам - есть показатель и уточняющая показатель аналитика. надо продумать как выводить если есть иерархия показателя</t>
  </si>
  <si>
    <t>2. Думаю сохранить можно оставить только на всей форме (пока можно и так оставить)</t>
  </si>
  <si>
    <t>3. Мы говорили что у каждого показателя есть - значение, скорректированное значение, метод расчета и кнопка для вызова расчета , чтобы пересчитать.... ну может поле описание еще добавить (или его по значку вопроса показывать)</t>
  </si>
  <si>
    <t>Счас обсуждали ещё может быть значение драйвера и удельное значение.</t>
  </si>
  <si>
    <t>Например. СТРОЙКА ДОМА - итого было 700 руб, итого стало 800 руб, всего м2 - 50 (драйвер) , сред значение - 160. ДАЛЕЕ КНОПКА ДИАЛОГА и текущий метод расчёта значений по месяцам (например линейо).</t>
  </si>
  <si>
    <t>ИТОГО за период</t>
  </si>
  <si>
    <t>ИТОГО пред</t>
  </si>
  <si>
    <t>Пересчет (кнопки\иконки</t>
  </si>
  <si>
    <t>ед изм</t>
  </si>
  <si>
    <t>изм абс\%</t>
  </si>
  <si>
    <t>Комментарий ИИ</t>
  </si>
  <si>
    <t>текст тексттекст тексттекст тексттекст тексттекст тексттекст текст</t>
  </si>
  <si>
    <t>иконки (но может быть разнести</t>
  </si>
  <si>
    <t>Норматив</t>
  </si>
  <si>
    <t>ИТОГО норматив</t>
  </si>
  <si>
    <t>ввод пользователя текст</t>
  </si>
  <si>
    <t>иконки ПЕРЕСЧЕТ \ ПОКАЗАТЬ ГРАФИК / СКАЧАТЬ (но может быть разнести их по строке гдето или в конец)</t>
  </si>
  <si>
    <t>переключатель:  месяц\квартал \ год</t>
  </si>
  <si>
    <t>Отклонение абс\%</t>
  </si>
  <si>
    <t>иконки ОШИБКА/ПЕРЕСЧЕТ \ ПОКАЗАТЬ ГРАФИК / СКАЧАТЬ (но может быть разнести их по строке гдето или в конец)</t>
  </si>
  <si>
    <t>можно обсуждать</t>
  </si>
  <si>
    <t>ТИПА СДЕЛАТЬ ДВА РЕЖИМА / СЧЖАТЫЙ И РАСЩШИРЕННЫЙ по столбцам!!! Например не только часть тослбцов скрывать но и по месяцам, а часть столбцов данных и комментариев - выводить в боковой панели</t>
  </si>
  <si>
    <t>наверно можно выводить в подсказке всп при наведении на ИТОГО норматив, т.к. надо не тольк осам норматив его значение еще есть столбец ед изм например и тп</t>
  </si>
  <si>
    <t>либо выводить инконку  разныую в зависимости от критичности замечания ИИ, а сам текст комментария уже при наведении</t>
  </si>
  <si>
    <t>=Ввод</t>
  </si>
  <si>
    <t>0. Ручной</t>
  </si>
  <si>
    <t>=ручной ввод</t>
  </si>
  <si>
    <t>Вводится на каждый период</t>
  </si>
  <si>
    <t>Вводится на каждый период или расчетным способом</t>
  </si>
  <si>
    <t>Средний объем продаж</t>
  </si>
  <si>
    <t>Вводится один раз или же расчитывается автоматически</t>
  </si>
  <si>
    <t>09-09</t>
  </si>
  <si>
    <t>09-08</t>
  </si>
  <si>
    <t>Дата старта продаж</t>
  </si>
  <si>
    <t xml:space="preserve"> = "00-06"/ ("09-08" - "09-09")</t>
  </si>
  <si>
    <t xml:space="preserve"> = "09-08" - "09-09"</t>
  </si>
  <si>
    <t>p09-08-09-09</t>
  </si>
  <si>
    <t>=ручной ввод
 = "09-08" -  "09- 09" (кол-во месяцев)</t>
  </si>
  <si>
    <t>= ручной
 = "00-06"/("09-08" -  "09- 09")</t>
  </si>
  <si>
    <t>в разерез ПК в месяц = итого метров поделить пока кол-во м2 не закончится</t>
  </si>
  <si>
    <t>Перид продаж (p09-08-09-09)</t>
  </si>
  <si>
    <t>Кол-во месяцев</t>
  </si>
  <si>
    <t>Дата страта продаж по данному ПК</t>
  </si>
  <si>
    <t>Цена на старте продаж</t>
  </si>
  <si>
    <t>2 пример почему вводить важно доля расрочки имеено в обьеме!!! И подееи описать как считается показатель тут ПОСТУПЛЕНИЯ (его нельзя вводить (делаем только расчетным</t>
  </si>
  <si>
    <t>Доля рассрочки в обьеме продажи и в поступления разные вещи - сейчас они вводят в постулпении его, а формально надо рассчитывать от % в обьеме через расчет кулешова.</t>
  </si>
  <si>
    <t>Пока решили что в CF вводим долю рассчроки в ОБЬЕМЕ а не поступления (хотя показатель вразделе поступления)</t>
  </si>
  <si>
    <t xml:space="preserve"> = "01-01" * "01-02"</t>
  </si>
  <si>
    <t>руб/м2</t>
  </si>
  <si>
    <t>3 Расчет по Количеству продаж</t>
  </si>
  <si>
    <t>Количество продаж</t>
  </si>
  <si>
    <t>Количество расчитываются исходя из контрактации в периодне деленная на S Лота(вволимая величина)</t>
  </si>
  <si>
    <t xml:space="preserve"> ЗНАЧ тек месяца/периода = (Контрактация  тек месяца/периода) / S Лот</t>
  </si>
  <si>
    <t>S Лот</t>
  </si>
  <si>
    <t xml:space="preserve">в разерез ПК в месяц = Контрактация / S Лот </t>
  </si>
  <si>
    <t>Фикс в месяц продажи, зависит от объема контрактации</t>
  </si>
  <si>
    <t xml:space="preserve"> = ручной ввод</t>
  </si>
  <si>
    <t>4 Контрактация денежный эквивалент</t>
  </si>
  <si>
    <t>= "01-01" * "01-02"</t>
  </si>
  <si>
    <t>80-05</t>
  </si>
  <si>
    <t>Контрактация в денежном эквиваленте</t>
  </si>
  <si>
    <t>Объем контрактации умноженный на цену</t>
  </si>
  <si>
    <t xml:space="preserve"> ЗНАЧ тек месяца/периода = (Контрактация  тек месяца/периода)  * Цена продаж периода</t>
  </si>
  <si>
    <t>в разерез ПК в месяц = Контрактация * Цена продаж</t>
  </si>
  <si>
    <t xml:space="preserve"> ЗНАЧ тек месяца/периода = ( (Контрактация  тек месяца/периода) / S Лот ) - только по квартирам и умножить * % обеспечения по ПаркоМестам</t>
  </si>
  <si>
    <t>% обеспечения по ПаркоМестам</t>
  </si>
  <si>
    <t>79</t>
  </si>
  <si>
    <t>80</t>
  </si>
  <si>
    <t>Драйверы</t>
  </si>
  <si>
    <t>71-01</t>
  </si>
  <si>
    <t>71-02</t>
  </si>
  <si>
    <t>как раз увязвывет ПОЛЕЗНУЮ И ОБЩУЮ В РАЗВЕРЕВЕ ВИД ОН: - ЛИБО ВВОД - ЛИБО РАСЧЕТ см DASH</t>
  </si>
  <si>
    <t>=Ввод
= 00-07+00-08 
= "00-06"/("09-08" -  "09- 09")  * "77-01" * "77-02"</t>
  </si>
  <si>
    <t xml:space="preserve"> Сред.объем продаж за период в м2 умноженный на Сезонность Коэффициент и умноженный на Тем очереди Коэффициент не превышаюший Полной Полезной площади</t>
  </si>
  <si>
    <t>Прим</t>
  </si>
  <si>
    <t>=Ввод
0. Расчет через обьем\прощадь лота</t>
  </si>
  <si>
    <t>=Ввод
= Расчета - через эскроу и рассрочку!!
 = ОБЬЕМ НА ЦЕНУ (если нет  эскроу и рассрочки-кредитных продаж)</t>
  </si>
  <si>
    <t>ПОТОМ - ОПИСАТЬ БИБЛИОТЕКУ  _ РАСЧЕТЫ уже черезх жскору и рассчроку - тогда подставится автоматом сюда</t>
  </si>
  <si>
    <t>+</t>
  </si>
  <si>
    <t>Вводим ТЭП в разрезе Проекта- ПК-Урбан\ ОбСтр</t>
  </si>
  <si>
    <t>ПРИМЕР</t>
  </si>
  <si>
    <r>
      <t xml:space="preserve"> = ВВОД
 </t>
    </r>
    <r>
      <rPr>
        <sz val="11"/>
        <color rgb="FFFF0000"/>
        <rFont val="Aptos Narrow"/>
        <family val="2"/>
        <scheme val="minor"/>
      </rPr>
      <t>= Расчет по Библиотеке ЗУ ВРИ</t>
    </r>
  </si>
  <si>
    <t xml:space="preserve"> = ВВОД
 = p05-04-05-04</t>
  </si>
  <si>
    <t xml:space="preserve"> = ВВОД
  = p05-08-05-08</t>
  </si>
  <si>
    <t xml:space="preserve"> = ВВОД
= p06-03-06-03</t>
  </si>
  <si>
    <t xml:space="preserve"> = ВВОД
 = p05-05-05-05</t>
  </si>
  <si>
    <t xml:space="preserve"> = ВВОД
 = p05-06-05-06</t>
  </si>
  <si>
    <t xml:space="preserve"> = ВВОД
 = p05-07-05-07</t>
  </si>
  <si>
    <t xml:space="preserve"> = ВВОД
=  p05-09-05-09</t>
  </si>
  <si>
    <t xml:space="preserve"> = ВВОД
= p05-10-05-10</t>
  </si>
  <si>
    <t xml:space="preserve"> = ВВОД
= p05-11-05-11</t>
  </si>
  <si>
    <t xml:space="preserve"> = ВВОД
= p05-12-05-12</t>
  </si>
  <si>
    <t xml:space="preserve"> = ВВОД
= p05-13-05-13</t>
  </si>
  <si>
    <t xml:space="preserve"> = ВВОД
= p05-14-05-14</t>
  </si>
  <si>
    <t xml:space="preserve"> = ВВОД
= p05-15-05-15</t>
  </si>
  <si>
    <t xml:space="preserve"> = ВВОД
= p06-01-06-01</t>
  </si>
  <si>
    <t xml:space="preserve"> = ВВОД
= p06-02-06-02</t>
  </si>
  <si>
    <r>
      <t xml:space="preserve">0. Ручной
</t>
    </r>
    <r>
      <rPr>
        <sz val="11"/>
        <color rgb="FFFF0000"/>
        <rFont val="Aptos Narrow"/>
        <family val="2"/>
        <scheme val="minor"/>
      </rPr>
      <t>1.  = Расчет по Библиотеке ЗУ ВРИ</t>
    </r>
  </si>
  <si>
    <t>0. Ручной
+…</t>
  </si>
  <si>
    <t>ввод пользователя</t>
  </si>
  <si>
    <t>Допишется потом</t>
  </si>
  <si>
    <t>согласовать\проговорить</t>
  </si>
  <si>
    <t>ЛЕГЕНДА ЯЧЕЕК</t>
  </si>
  <si>
    <t>Доклад начальная встреча</t>
  </si>
  <si>
    <t>ИТ и дизайн - уточнить подходы и планы?</t>
  </si>
  <si>
    <t>консуров  - ДОПИШУ ВАРИНАТЫ по месяцам</t>
  </si>
  <si>
    <t>0. Ручной
1. ИТОГО разделить на колво месяцев где есть расход по проекту</t>
  </si>
  <si>
    <t>МЕТОД ФАКТ</t>
  </si>
  <si>
    <t>МЕТОД ПРОГНОЗ</t>
  </si>
  <si>
    <t>01-09</t>
  </si>
  <si>
    <t>05-01</t>
  </si>
  <si>
    <t>05-02</t>
  </si>
  <si>
    <t>05-03</t>
  </si>
  <si>
    <t>Прочее</t>
  </si>
  <si>
    <t>ИТ в работу - описаны столбцы, формулы и тп - 1й ЭТАП</t>
  </si>
  <si>
    <t>НАЗВАНИЕ СТОЛБЦА</t>
  </si>
  <si>
    <t>ЛИСТ ДЛЯ РАБОТЫ МЕТОДОЛОГИИ - дальнейшие шаги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</si>
</sst>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-* #,##0.00_-;\-* #,##0.00_-;_-* &quot;-&quot;??_-;_-@_-"/>
    <numFmt numFmtId="164" formatCode="_-* #,##0.00\ _₽_-;\-* #,##0.00\ _₽_-;_-* &quot;-&quot;??\ _₽_-;_-@_-"/>
    <numFmt numFmtId="165" formatCode="_-* #,##0_-;\-* #,##0_-;_-* &quot;-&quot;??_-;_-@_-"/>
    <numFmt numFmtId="166" formatCode="_-* #,##0\ _₽_-;\-* #,##0\ _₽_-;_-* &quot;-&quot;??\ _₽_-;_-@_-"/>
    <numFmt numFmtId="167" formatCode="_-* #,##0.00\ [$₽-419]_-;\-* #,##0.00\ [$₽-419]_-;_-* &quot;-&quot;??\ [$₽-419]_-;_-@_-"/>
    <numFmt numFmtId="168" formatCode="0.0%"/>
  </numFmts>
  <fonts count="5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sz val="11"/>
      <color rgb="FF7030A0"/>
      <name val="Aptos Narrow"/>
      <family val="2"/>
      <scheme val="minor"/>
    </font>
    <font>
      <sz val="10"/>
      <color rgb="FF000000"/>
      <name val="Times New Roman"/>
      <family val="1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sz val="10"/>
      <color theme="1"/>
      <name val="Aptos Narrow"/>
      <family val="2"/>
    </font>
    <font>
      <sz val="8"/>
      <name val="Arial"/>
      <family val="2"/>
    </font>
    <font>
      <b/>
      <sz val="12"/>
      <color rgb="FF7030A0"/>
      <name val="Aptos Narrow"/>
      <family val="2"/>
      <scheme val="minor"/>
    </font>
    <font>
      <b/>
      <sz val="14"/>
      <color rgb="FF7030A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</font>
    <font>
      <b/>
      <sz val="14"/>
      <color theme="1"/>
      <name val="Aptos Narrow"/>
      <family val="2"/>
      <scheme val="minor"/>
    </font>
    <font>
      <sz val="11"/>
      <color rgb="FF7030A0"/>
      <name val="Aptos Narrow"/>
      <family val="2"/>
      <charset val="204"/>
      <scheme val="minor"/>
    </font>
    <font>
      <sz val="12"/>
      <color theme="1"/>
      <name val="Aptos Narrow"/>
      <family val="2"/>
      <scheme val="minor"/>
    </font>
    <font>
      <sz val="12"/>
      <color rgb="FF7030A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name val="Aptos Narrow"/>
      <family val="2"/>
      <charset val="204"/>
      <scheme val="minor"/>
    </font>
    <font>
      <b/>
      <sz val="11"/>
      <color rgb="FF92D05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sz val="11"/>
      <color theme="7"/>
      <name val="Aptos Narrow"/>
      <family val="2"/>
      <scheme val="minor"/>
    </font>
    <font>
      <b/>
      <sz val="11"/>
      <color theme="1"/>
      <name val="Aptos Narrow"/>
      <family val="2"/>
      <charset val="204"/>
      <scheme val="minor"/>
    </font>
    <font>
      <b/>
      <sz val="12"/>
      <color theme="0"/>
      <name val="Aptos Narrow"/>
      <family val="2"/>
    </font>
    <font>
      <sz val="10"/>
      <name val="Aptos Narrow"/>
      <family val="2"/>
    </font>
    <font>
      <sz val="10"/>
      <color theme="1"/>
      <name val="Aptos Narrow"/>
      <family val="2"/>
    </font>
    <font>
      <b/>
      <sz val="12"/>
      <name val="Aptos Narrow"/>
      <family val="2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charset val="204"/>
      <scheme val="minor"/>
    </font>
    <font>
      <i/>
      <sz val="10"/>
      <color rgb="FFFF0000"/>
      <name val="Aptos Narrow"/>
      <family val="2"/>
    </font>
    <font>
      <u/>
      <sz val="11"/>
      <color theme="10"/>
      <name val="Aptos Narrow"/>
      <family val="2"/>
      <charset val="204"/>
      <scheme val="minor"/>
    </font>
    <font>
      <u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1"/>
      <color rgb="FF002060"/>
      <name val="Aptos Narrow"/>
      <family val="2"/>
      <charset val="204"/>
      <scheme val="minor"/>
    </font>
    <font>
      <b/>
      <sz val="10"/>
      <name val="Aptos Narrow"/>
      <family val="2"/>
    </font>
    <font>
      <sz val="10"/>
      <color theme="0" tint="-0.499984740745262"/>
      <name val="Aptos Narrow"/>
      <family val="2"/>
    </font>
    <font>
      <sz val="14"/>
      <color rgb="FF7030A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2D6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8158EF"/>
        <bgColor auto="1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9E95F"/>
        <bgColor indexed="64"/>
      </patternFill>
    </fill>
    <fill>
      <patternFill patternType="solid">
        <fgColor rgb="FF59C1F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FFA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A19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89999084444715716"/>
        <bgColor indexed="64"/>
      </patternFill>
    </fill>
  </fills>
  <borders count="28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8158EF"/>
      </left>
      <right style="thin">
        <color rgb="FF8158EF"/>
      </right>
      <top style="thin">
        <color rgb="FF8158EF"/>
      </top>
      <bottom style="thin">
        <color rgb="FF8158EF"/>
      </bottom>
      <diagonal/>
    </border>
    <border>
      <left style="thin">
        <color theme="0" tint="-0.24994659260841701"/>
      </left>
      <right style="thin">
        <color rgb="FF8158EF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20">
    <xf numFmtId="0" fontId="0" fillId="0" borderId="0"/>
    <xf numFmtId="0" fontId="4" fillId="0" borderId="0"/>
    <xf numFmtId="9" fontId="4" fillId="0" borderId="0" applyFont="0" applyFill="0" applyBorder="0" applyAlignment="0" applyProtection="0"/>
    <xf numFmtId="0" fontId="5" fillId="0" borderId="0"/>
    <xf numFmtId="43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7" fillId="0" borderId="0"/>
    <xf numFmtId="0" fontId="5" fillId="0" borderId="0"/>
    <xf numFmtId="0" fontId="8" fillId="0" borderId="0"/>
    <xf numFmtId="0" fontId="9" fillId="0" borderId="0"/>
    <xf numFmtId="0" fontId="5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1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6" fillId="0" borderId="0" applyNumberFormat="0" applyFill="0" applyBorder="0" applyAlignment="0" applyProtection="0"/>
  </cellStyleXfs>
  <cellXfs count="353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 indent="1"/>
    </xf>
    <xf numFmtId="0" fontId="2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3" fillId="0" borderId="0" xfId="0" applyFont="1"/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14" fontId="2" fillId="0" borderId="0" xfId="0" applyNumberFormat="1" applyFont="1"/>
    <xf numFmtId="0" fontId="6" fillId="0" borderId="0" xfId="0" applyFont="1"/>
    <xf numFmtId="0" fontId="2" fillId="0" borderId="0" xfId="0" applyFont="1" applyAlignment="1">
      <alignment vertical="top"/>
    </xf>
    <xf numFmtId="0" fontId="0" fillId="2" borderId="0" xfId="0" applyFill="1"/>
    <xf numFmtId="0" fontId="0" fillId="2" borderId="0" xfId="0" applyFill="1" applyAlignment="1">
      <alignment vertical="top" wrapText="1"/>
    </xf>
    <xf numFmtId="0" fontId="4" fillId="0" borderId="0" xfId="0" applyFont="1" applyAlignment="1">
      <alignment horizontal="left" indent="3"/>
    </xf>
    <xf numFmtId="0" fontId="0" fillId="4" borderId="0" xfId="0" applyFill="1"/>
    <xf numFmtId="0" fontId="0" fillId="0" borderId="0" xfId="0" applyAlignment="1">
      <alignment horizontal="left"/>
    </xf>
    <xf numFmtId="0" fontId="4" fillId="0" borderId="0" xfId="0" applyFont="1"/>
    <xf numFmtId="49" fontId="0" fillId="4" borderId="0" xfId="0" applyNumberFormat="1" applyFill="1" applyAlignment="1">
      <alignment vertical="top"/>
    </xf>
    <xf numFmtId="0" fontId="14" fillId="0" borderId="0" xfId="0" applyFont="1"/>
    <xf numFmtId="49" fontId="0" fillId="2" borderId="0" xfId="0" applyNumberFormat="1" applyFill="1" applyAlignment="1">
      <alignment vertical="top"/>
    </xf>
    <xf numFmtId="0" fontId="13" fillId="0" borderId="0" xfId="0" applyFont="1"/>
    <xf numFmtId="0" fontId="0" fillId="2" borderId="0" xfId="0" applyFill="1" applyAlignment="1">
      <alignment horizontal="left" vertical="top"/>
    </xf>
    <xf numFmtId="0" fontId="10" fillId="3" borderId="2" xfId="1" applyFont="1" applyFill="1" applyBorder="1" applyAlignment="1">
      <alignment horizontal="left" vertical="center" indent="3"/>
    </xf>
    <xf numFmtId="0" fontId="0" fillId="2" borderId="0" xfId="0" applyFill="1" applyAlignment="1">
      <alignment vertical="top"/>
    </xf>
    <xf numFmtId="0" fontId="2" fillId="2" borderId="0" xfId="0" applyFont="1" applyFill="1" applyAlignment="1">
      <alignment vertical="top"/>
    </xf>
    <xf numFmtId="0" fontId="0" fillId="7" borderId="0" xfId="0" applyFill="1"/>
    <xf numFmtId="0" fontId="4" fillId="0" borderId="0" xfId="0" applyFont="1" applyAlignment="1">
      <alignment vertical="top"/>
    </xf>
    <xf numFmtId="0" fontId="17" fillId="8" borderId="0" xfId="0" applyFont="1" applyFill="1"/>
    <xf numFmtId="0" fontId="17" fillId="8" borderId="0" xfId="0" applyFont="1" applyFill="1" applyAlignment="1">
      <alignment wrapText="1"/>
    </xf>
    <xf numFmtId="0" fontId="17" fillId="0" borderId="0" xfId="0" applyFont="1"/>
    <xf numFmtId="0" fontId="16" fillId="3" borderId="2" xfId="1" applyFont="1" applyFill="1" applyBorder="1" applyAlignment="1">
      <alignment horizontal="left" vertical="center" indent="3"/>
    </xf>
    <xf numFmtId="0" fontId="0" fillId="0" borderId="5" xfId="0" applyBorder="1"/>
    <xf numFmtId="0" fontId="2" fillId="7" borderId="5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5" xfId="0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6" borderId="0" xfId="0" applyFont="1" applyFill="1"/>
    <xf numFmtId="0" fontId="0" fillId="6" borderId="0" xfId="0" applyFill="1"/>
    <xf numFmtId="0" fontId="15" fillId="9" borderId="3" xfId="1" applyFont="1" applyFill="1" applyBorder="1" applyAlignment="1">
      <alignment horizontal="center" vertical="center" wrapText="1"/>
    </xf>
    <xf numFmtId="0" fontId="15" fillId="9" borderId="1" xfId="1" applyFont="1" applyFill="1" applyBorder="1" applyAlignment="1">
      <alignment horizontal="center" vertical="center" wrapText="1"/>
    </xf>
    <xf numFmtId="0" fontId="15" fillId="9" borderId="4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inden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2"/>
    </xf>
    <xf numFmtId="0" fontId="0" fillId="7" borderId="0" xfId="0" applyFill="1" applyAlignment="1">
      <alignment wrapText="1"/>
    </xf>
    <xf numFmtId="9" fontId="0" fillId="0" borderId="0" xfId="0" applyNumberFormat="1"/>
    <xf numFmtId="9" fontId="2" fillId="0" borderId="0" xfId="17" applyFont="1"/>
    <xf numFmtId="0" fontId="4" fillId="0" borderId="0" xfId="0" applyFont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7" fontId="0" fillId="0" borderId="0" xfId="0" applyNumberFormat="1"/>
    <xf numFmtId="0" fontId="0" fillId="0" borderId="10" xfId="0" applyBorder="1"/>
    <xf numFmtId="14" fontId="0" fillId="0" borderId="0" xfId="0" applyNumberForma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2" borderId="9" xfId="0" applyFill="1" applyBorder="1"/>
    <xf numFmtId="0" fontId="0" fillId="2" borderId="10" xfId="0" applyFill="1" applyBorder="1"/>
    <xf numFmtId="0" fontId="17" fillId="8" borderId="9" xfId="0" applyFont="1" applyFill="1" applyBorder="1"/>
    <xf numFmtId="0" fontId="17" fillId="8" borderId="10" xfId="0" applyFont="1" applyFill="1" applyBorder="1"/>
    <xf numFmtId="0" fontId="0" fillId="2" borderId="15" xfId="0" applyFill="1" applyBorder="1"/>
    <xf numFmtId="0" fontId="0" fillId="0" borderId="15" xfId="0" applyBorder="1" applyAlignment="1">
      <alignment horizontal="left" vertical="top"/>
    </xf>
    <xf numFmtId="0" fontId="0" fillId="0" borderId="15" xfId="0" applyBorder="1" applyAlignment="1">
      <alignment vertical="top"/>
    </xf>
    <xf numFmtId="0" fontId="0" fillId="0" borderId="15" xfId="0" applyBorder="1"/>
    <xf numFmtId="0" fontId="17" fillId="0" borderId="15" xfId="0" applyFont="1" applyBorder="1"/>
    <xf numFmtId="0" fontId="19" fillId="0" borderId="0" xfId="0" applyFont="1"/>
    <xf numFmtId="0" fontId="12" fillId="0" borderId="0" xfId="0" applyFont="1" applyAlignment="1">
      <alignment vertical="top"/>
    </xf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19" fillId="2" borderId="14" xfId="0" applyFont="1" applyFill="1" applyBorder="1"/>
    <xf numFmtId="0" fontId="21" fillId="0" borderId="0" xfId="0" applyFont="1"/>
    <xf numFmtId="0" fontId="19" fillId="2" borderId="15" xfId="0" applyFont="1" applyFill="1" applyBorder="1"/>
    <xf numFmtId="0" fontId="2" fillId="0" borderId="0" xfId="0" applyFont="1" applyAlignment="1">
      <alignment horizontal="left" indent="1"/>
    </xf>
    <xf numFmtId="0" fontId="0" fillId="10" borderId="0" xfId="0" applyFill="1"/>
    <xf numFmtId="0" fontId="0" fillId="4" borderId="0" xfId="0" applyFill="1" applyAlignment="1">
      <alignment vertical="top"/>
    </xf>
    <xf numFmtId="0" fontId="10" fillId="3" borderId="2" xfId="1" applyFont="1" applyFill="1" applyBorder="1" applyAlignment="1">
      <alignment horizontal="left" vertical="center"/>
    </xf>
    <xf numFmtId="49" fontId="0" fillId="10" borderId="0" xfId="0" applyNumberFormat="1" applyFill="1"/>
    <xf numFmtId="0" fontId="18" fillId="0" borderId="0" xfId="0" applyFont="1"/>
    <xf numFmtId="0" fontId="18" fillId="0" borderId="0" xfId="0" applyFont="1" applyAlignment="1">
      <alignment horizontal="left"/>
    </xf>
    <xf numFmtId="0" fontId="18" fillId="6" borderId="0" xfId="0" applyFont="1" applyFill="1"/>
    <xf numFmtId="0" fontId="18" fillId="2" borderId="0" xfId="0" applyFont="1" applyFill="1"/>
    <xf numFmtId="0" fontId="18" fillId="0" borderId="0" xfId="0" applyFont="1" applyAlignment="1">
      <alignment vertical="top" wrapText="1"/>
    </xf>
    <xf numFmtId="0" fontId="23" fillId="2" borderId="0" xfId="0" applyFont="1" applyFill="1"/>
    <xf numFmtId="0" fontId="27" fillId="0" borderId="0" xfId="0" applyFont="1"/>
    <xf numFmtId="0" fontId="26" fillId="0" borderId="0" xfId="0" applyFont="1"/>
    <xf numFmtId="0" fontId="2" fillId="0" borderId="0" xfId="0" applyFont="1" applyAlignment="1">
      <alignment vertical="top" wrapText="1"/>
    </xf>
    <xf numFmtId="0" fontId="2" fillId="2" borderId="0" xfId="0" applyFont="1" applyFill="1"/>
    <xf numFmtId="0" fontId="24" fillId="0" borderId="0" xfId="0" applyFont="1"/>
    <xf numFmtId="0" fontId="24" fillId="2" borderId="0" xfId="0" applyFont="1" applyFill="1"/>
    <xf numFmtId="0" fontId="24" fillId="6" borderId="0" xfId="0" applyFont="1" applyFill="1"/>
    <xf numFmtId="0" fontId="25" fillId="0" borderId="0" xfId="0" applyFont="1"/>
    <xf numFmtId="0" fontId="3" fillId="0" borderId="0" xfId="0" applyFont="1" applyAlignment="1">
      <alignment horizontal="left" indent="1"/>
    </xf>
    <xf numFmtId="0" fontId="3" fillId="6" borderId="0" xfId="0" applyFont="1" applyFill="1"/>
    <xf numFmtId="0" fontId="3" fillId="2" borderId="0" xfId="0" applyFont="1" applyFill="1"/>
    <xf numFmtId="0" fontId="2" fillId="0" borderId="12" xfId="0" applyFont="1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12" xfId="0" applyFont="1" applyBorder="1" applyAlignment="1">
      <alignment vertical="top" wrapText="1"/>
    </xf>
    <xf numFmtId="0" fontId="0" fillId="6" borderId="0" xfId="0" applyFill="1" applyAlignment="1">
      <alignment vertical="top" wrapText="1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17" fillId="8" borderId="0" xfId="0" applyFont="1" applyFill="1" applyAlignment="1">
      <alignment horizontal="center"/>
    </xf>
    <xf numFmtId="0" fontId="0" fillId="10" borderId="0" xfId="0" applyFill="1" applyAlignment="1">
      <alignment horizontal="left" vertical="top"/>
    </xf>
    <xf numFmtId="0" fontId="0" fillId="10" borderId="0" xfId="0" applyFill="1" applyAlignment="1">
      <alignment vertical="top" wrapText="1"/>
    </xf>
    <xf numFmtId="0" fontId="0" fillId="7" borderId="5" xfId="0" applyFill="1" applyBorder="1" applyAlignment="1">
      <alignment vertical="top" wrapText="1"/>
    </xf>
    <xf numFmtId="0" fontId="0" fillId="0" borderId="16" xfId="0" applyBorder="1"/>
    <xf numFmtId="0" fontId="0" fillId="0" borderId="17" xfId="0" applyBorder="1"/>
    <xf numFmtId="0" fontId="2" fillId="7" borderId="0" xfId="0" applyFont="1" applyFill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19" xfId="0" applyBorder="1" applyAlignment="1">
      <alignment horizontal="center" vertical="center" wrapText="1"/>
    </xf>
    <xf numFmtId="0" fontId="0" fillId="0" borderId="20" xfId="0" applyBorder="1"/>
    <xf numFmtId="0" fontId="0" fillId="0" borderId="21" xfId="0" applyBorder="1"/>
    <xf numFmtId="0" fontId="28" fillId="0" borderId="0" xfId="0" applyFont="1"/>
    <xf numFmtId="0" fontId="0" fillId="0" borderId="22" xfId="0" applyBorder="1"/>
    <xf numFmtId="0" fontId="0" fillId="0" borderId="23" xfId="0" applyBorder="1"/>
    <xf numFmtId="0" fontId="29" fillId="11" borderId="0" xfId="0" applyFont="1" applyFill="1" applyAlignment="1">
      <alignment horizontal="left" vertical="center" indent="2"/>
    </xf>
    <xf numFmtId="0" fontId="29" fillId="0" borderId="0" xfId="0" applyFont="1" applyAlignment="1">
      <alignment horizontal="left" vertical="center" indent="2"/>
    </xf>
    <xf numFmtId="0" fontId="30" fillId="3" borderId="0" xfId="0" applyFont="1" applyFill="1" applyAlignment="1">
      <alignment horizontal="left" vertical="center" indent="1"/>
    </xf>
    <xf numFmtId="0" fontId="29" fillId="12" borderId="0" xfId="0" applyFont="1" applyFill="1" applyAlignment="1">
      <alignment horizontal="left" vertical="center" indent="2"/>
    </xf>
    <xf numFmtId="0" fontId="29" fillId="13" borderId="0" xfId="0" applyFont="1" applyFill="1" applyAlignment="1">
      <alignment horizontal="left" vertical="center" indent="2"/>
    </xf>
    <xf numFmtId="0" fontId="31" fillId="3" borderId="0" xfId="0" applyFont="1" applyFill="1" applyAlignment="1">
      <alignment horizontal="left" vertical="center" indent="4"/>
    </xf>
    <xf numFmtId="0" fontId="31" fillId="0" borderId="0" xfId="0" applyFont="1" applyAlignment="1">
      <alignment horizontal="left" vertical="center" indent="4"/>
    </xf>
    <xf numFmtId="0" fontId="29" fillId="14" borderId="0" xfId="0" applyFont="1" applyFill="1" applyAlignment="1">
      <alignment horizontal="left" vertical="center" indent="2"/>
    </xf>
    <xf numFmtId="0" fontId="31" fillId="3" borderId="0" xfId="0" applyFont="1" applyFill="1" applyAlignment="1">
      <alignment horizontal="left" vertical="center" indent="3"/>
    </xf>
    <xf numFmtId="0" fontId="31" fillId="0" borderId="0" xfId="0" applyFont="1" applyAlignment="1">
      <alignment horizontal="left" vertical="center" indent="3"/>
    </xf>
    <xf numFmtId="0" fontId="32" fillId="13" borderId="0" xfId="0" applyFont="1" applyFill="1" applyAlignment="1">
      <alignment horizontal="left" vertical="center" wrapText="1" indent="2"/>
    </xf>
    <xf numFmtId="0" fontId="0" fillId="0" borderId="24" xfId="0" applyBorder="1"/>
    <xf numFmtId="0" fontId="12" fillId="0" borderId="25" xfId="0" applyFont="1" applyBorder="1"/>
    <xf numFmtId="0" fontId="0" fillId="0" borderId="25" xfId="0" applyBorder="1"/>
    <xf numFmtId="0" fontId="0" fillId="0" borderId="26" xfId="0" applyBorder="1"/>
    <xf numFmtId="0" fontId="33" fillId="15" borderId="0" xfId="0" applyFont="1" applyFill="1" applyAlignment="1">
      <alignment horizontal="center" vertical="center" wrapText="1"/>
    </xf>
    <xf numFmtId="0" fontId="2" fillId="16" borderId="0" xfId="0" applyFont="1" applyFill="1" applyAlignment="1">
      <alignment horizontal="center" vertical="center" wrapText="1"/>
    </xf>
    <xf numFmtId="0" fontId="32" fillId="6" borderId="0" xfId="0" applyFont="1" applyFill="1" applyAlignment="1">
      <alignment horizontal="left" vertical="center" wrapText="1" indent="2"/>
    </xf>
    <xf numFmtId="0" fontId="32" fillId="17" borderId="0" xfId="0" applyFont="1" applyFill="1" applyAlignment="1">
      <alignment horizontal="left" vertical="center" wrapText="1" indent="2"/>
    </xf>
    <xf numFmtId="0" fontId="34" fillId="0" borderId="0" xfId="0" applyFont="1"/>
    <xf numFmtId="0" fontId="0" fillId="20" borderId="0" xfId="0" applyFill="1"/>
    <xf numFmtId="165" fontId="0" fillId="20" borderId="0" xfId="0" applyNumberFormat="1" applyFill="1"/>
    <xf numFmtId="0" fontId="35" fillId="0" borderId="27" xfId="0" applyFont="1" applyBorder="1" applyAlignment="1">
      <alignment horizontal="left"/>
    </xf>
    <xf numFmtId="0" fontId="35" fillId="0" borderId="0" xfId="0" applyFont="1" applyAlignment="1">
      <alignment horizontal="left"/>
    </xf>
    <xf numFmtId="0" fontId="37" fillId="0" borderId="0" xfId="19" applyFont="1"/>
    <xf numFmtId="0" fontId="38" fillId="0" borderId="0" xfId="0" applyFont="1"/>
    <xf numFmtId="0" fontId="6" fillId="0" borderId="0" xfId="0" quotePrefix="1" applyFont="1"/>
    <xf numFmtId="43" fontId="0" fillId="0" borderId="0" xfId="18" applyFont="1"/>
    <xf numFmtId="0" fontId="6" fillId="0" borderId="0" xfId="0" quotePrefix="1" applyFont="1" applyAlignment="1">
      <alignment horizontal="left" vertical="center" wrapText="1"/>
    </xf>
    <xf numFmtId="0" fontId="6" fillId="0" borderId="0" xfId="0" applyFont="1" applyAlignment="1">
      <alignment wrapText="1"/>
    </xf>
    <xf numFmtId="0" fontId="39" fillId="0" borderId="0" xfId="0" applyFont="1" applyAlignment="1">
      <alignment wrapText="1"/>
    </xf>
    <xf numFmtId="0" fontId="39" fillId="0" borderId="0" xfId="0" applyFont="1"/>
    <xf numFmtId="0" fontId="40" fillId="0" borderId="0" xfId="0" applyFont="1"/>
    <xf numFmtId="0" fontId="40" fillId="0" borderId="6" xfId="0" applyFont="1" applyBorder="1"/>
    <xf numFmtId="0" fontId="0" fillId="18" borderId="9" xfId="0" applyFill="1" applyBorder="1"/>
    <xf numFmtId="0" fontId="0" fillId="18" borderId="0" xfId="0" applyFill="1"/>
    <xf numFmtId="165" fontId="34" fillId="18" borderId="0" xfId="18" applyNumberFormat="1" applyFont="1" applyFill="1" applyBorder="1"/>
    <xf numFmtId="165" fontId="0" fillId="18" borderId="0" xfId="0" applyNumberFormat="1" applyFill="1"/>
    <xf numFmtId="165" fontId="0" fillId="18" borderId="10" xfId="0" applyNumberFormat="1" applyFill="1" applyBorder="1"/>
    <xf numFmtId="165" fontId="0" fillId="0" borderId="0" xfId="0" applyNumberFormat="1"/>
    <xf numFmtId="165" fontId="0" fillId="0" borderId="10" xfId="0" applyNumberFormat="1" applyBorder="1"/>
    <xf numFmtId="0" fontId="4" fillId="19" borderId="0" xfId="0" applyFont="1" applyFill="1"/>
    <xf numFmtId="0" fontId="2" fillId="0" borderId="7" xfId="0" applyFont="1" applyBorder="1" applyAlignment="1">
      <alignment horizontal="left" vertical="top"/>
    </xf>
    <xf numFmtId="0" fontId="0" fillId="0" borderId="7" xfId="0" applyBorder="1" applyAlignment="1">
      <alignment vertical="top" wrapText="1"/>
    </xf>
    <xf numFmtId="0" fontId="0" fillId="19" borderId="9" xfId="0" applyFill="1" applyBorder="1"/>
    <xf numFmtId="0" fontId="0" fillId="19" borderId="0" xfId="0" applyFill="1"/>
    <xf numFmtId="1" fontId="0" fillId="19" borderId="0" xfId="0" applyNumberFormat="1" applyFill="1"/>
    <xf numFmtId="9" fontId="0" fillId="0" borderId="10" xfId="0" applyNumberFormat="1" applyBorder="1"/>
    <xf numFmtId="0" fontId="0" fillId="0" borderId="0" xfId="0" quotePrefix="1"/>
    <xf numFmtId="0" fontId="0" fillId="3" borderId="0" xfId="0" applyFill="1"/>
    <xf numFmtId="1" fontId="0" fillId="3" borderId="0" xfId="0" applyNumberFormat="1" applyFill="1"/>
    <xf numFmtId="0" fontId="0" fillId="21" borderId="9" xfId="0" applyFill="1" applyBorder="1"/>
    <xf numFmtId="0" fontId="0" fillId="21" borderId="0" xfId="0" applyFill="1"/>
    <xf numFmtId="165" fontId="0" fillId="21" borderId="0" xfId="0" applyNumberFormat="1" applyFill="1"/>
    <xf numFmtId="165" fontId="0" fillId="21" borderId="10" xfId="0" applyNumberFormat="1" applyFill="1" applyBorder="1"/>
    <xf numFmtId="16" fontId="0" fillId="0" borderId="0" xfId="0" applyNumberFormat="1"/>
    <xf numFmtId="0" fontId="0" fillId="22" borderId="0" xfId="0" applyFill="1"/>
    <xf numFmtId="0" fontId="23" fillId="22" borderId="0" xfId="0" applyFont="1" applyFill="1"/>
    <xf numFmtId="0" fontId="6" fillId="22" borderId="0" xfId="0" applyFont="1" applyFill="1"/>
    <xf numFmtId="0" fontId="0" fillId="10" borderId="0" xfId="0" quotePrefix="1" applyFill="1" applyAlignment="1">
      <alignment horizontal="left" vertical="top"/>
    </xf>
    <xf numFmtId="49" fontId="0" fillId="10" borderId="0" xfId="0" applyNumberFormat="1" applyFill="1" applyAlignment="1">
      <alignment vertical="top"/>
    </xf>
    <xf numFmtId="0" fontId="4" fillId="0" borderId="0" xfId="0" applyFont="1" applyAlignment="1">
      <alignment vertical="top" wrapText="1"/>
    </xf>
    <xf numFmtId="0" fontId="0" fillId="7" borderId="0" xfId="0" applyFill="1" applyAlignment="1">
      <alignment vertical="top" wrapText="1"/>
    </xf>
    <xf numFmtId="49" fontId="0" fillId="10" borderId="0" xfId="0" applyNumberFormat="1" applyFill="1" applyAlignment="1">
      <alignment vertical="top" wrapText="1"/>
    </xf>
    <xf numFmtId="10" fontId="0" fillId="10" borderId="0" xfId="0" applyNumberFormat="1" applyFill="1"/>
    <xf numFmtId="0" fontId="41" fillId="0" borderId="0" xfId="0" applyFont="1"/>
    <xf numFmtId="0" fontId="42" fillId="0" borderId="0" xfId="0" applyFont="1"/>
    <xf numFmtId="0" fontId="0" fillId="3" borderId="6" xfId="0" applyFill="1" applyBorder="1"/>
    <xf numFmtId="0" fontId="0" fillId="3" borderId="7" xfId="0" applyFill="1" applyBorder="1"/>
    <xf numFmtId="165" fontId="0" fillId="3" borderId="7" xfId="18" applyNumberFormat="1" applyFont="1" applyFill="1" applyBorder="1"/>
    <xf numFmtId="0" fontId="0" fillId="3" borderId="8" xfId="0" applyFill="1" applyBorder="1"/>
    <xf numFmtId="0" fontId="0" fillId="3" borderId="9" xfId="0" applyFill="1" applyBorder="1"/>
    <xf numFmtId="10" fontId="0" fillId="3" borderId="0" xfId="0" applyNumberFormat="1" applyFill="1"/>
    <xf numFmtId="0" fontId="0" fillId="3" borderId="10" xfId="0" applyFill="1" applyBorder="1"/>
    <xf numFmtId="14" fontId="0" fillId="3" borderId="0" xfId="0" applyNumberFormat="1" applyFill="1"/>
    <xf numFmtId="0" fontId="2" fillId="3" borderId="0" xfId="0" applyFont="1" applyFill="1"/>
    <xf numFmtId="17" fontId="2" fillId="3" borderId="0" xfId="0" applyNumberFormat="1" applyFont="1" applyFill="1"/>
    <xf numFmtId="17" fontId="2" fillId="3" borderId="10" xfId="0" applyNumberFormat="1" applyFont="1" applyFill="1" applyBorder="1"/>
    <xf numFmtId="0" fontId="2" fillId="3" borderId="9" xfId="0" applyFont="1" applyFill="1" applyBorder="1"/>
    <xf numFmtId="166" fontId="0" fillId="3" borderId="0" xfId="0" applyNumberFormat="1" applyFill="1"/>
    <xf numFmtId="166" fontId="0" fillId="3" borderId="10" xfId="0" applyNumberFormat="1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2" fillId="3" borderId="0" xfId="0" applyFont="1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3" fillId="3" borderId="6" xfId="0" applyFont="1" applyFill="1" applyBorder="1" applyAlignment="1">
      <alignment horizontal="left" vertical="top"/>
    </xf>
    <xf numFmtId="0" fontId="2" fillId="3" borderId="7" xfId="0" applyFont="1" applyFill="1" applyBorder="1" applyAlignment="1">
      <alignment horizontal="left" vertical="top"/>
    </xf>
    <xf numFmtId="0" fontId="0" fillId="3" borderId="7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 wrapText="1"/>
    </xf>
    <xf numFmtId="0" fontId="0" fillId="3" borderId="10" xfId="0" applyFill="1" applyBorder="1" applyAlignment="1">
      <alignment horizontal="left" vertical="top" wrapText="1"/>
    </xf>
    <xf numFmtId="0" fontId="4" fillId="3" borderId="0" xfId="0" applyFont="1" applyFill="1" applyAlignment="1">
      <alignment horizontal="left" vertical="top"/>
    </xf>
    <xf numFmtId="0" fontId="4" fillId="3" borderId="10" xfId="0" applyFont="1" applyFill="1" applyBorder="1" applyAlignment="1">
      <alignment horizontal="left" vertical="top" wrapText="1"/>
    </xf>
    <xf numFmtId="0" fontId="2" fillId="3" borderId="12" xfId="0" applyFont="1" applyFill="1" applyBorder="1" applyAlignment="1">
      <alignment horizontal="left" vertical="top"/>
    </xf>
    <xf numFmtId="0" fontId="0" fillId="3" borderId="12" xfId="0" applyFill="1" applyBorder="1" applyAlignment="1">
      <alignment horizontal="left" vertical="top"/>
    </xf>
    <xf numFmtId="0" fontId="0" fillId="3" borderId="13" xfId="0" applyFill="1" applyBorder="1" applyAlignment="1">
      <alignment horizontal="left" vertical="top" wrapText="1"/>
    </xf>
    <xf numFmtId="0" fontId="0" fillId="3" borderId="9" xfId="0" applyFill="1" applyBorder="1" applyAlignment="1">
      <alignment horizontal="center" vertical="top"/>
    </xf>
    <xf numFmtId="0" fontId="2" fillId="3" borderId="9" xfId="0" applyFont="1" applyFill="1" applyBorder="1" applyAlignment="1">
      <alignment horizontal="center" vertical="top"/>
    </xf>
    <xf numFmtId="0" fontId="0" fillId="3" borderId="11" xfId="0" applyFill="1" applyBorder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0" fillId="0" borderId="0" xfId="0" applyAlignment="1">
      <alignment horizontal="center" vertical="top"/>
    </xf>
    <xf numFmtId="0" fontId="0" fillId="3" borderId="6" xfId="0" applyFill="1" applyBorder="1" applyAlignment="1">
      <alignment horizontal="center" vertical="top"/>
    </xf>
    <xf numFmtId="0" fontId="0" fillId="3" borderId="7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/>
    </xf>
    <xf numFmtId="0" fontId="2" fillId="3" borderId="9" xfId="0" applyFont="1" applyFill="1" applyBorder="1" applyAlignment="1">
      <alignment horizontal="left" vertical="top"/>
    </xf>
    <xf numFmtId="0" fontId="0" fillId="3" borderId="10" xfId="0" applyFill="1" applyBorder="1" applyAlignment="1">
      <alignment horizontal="left" vertical="top"/>
    </xf>
    <xf numFmtId="0" fontId="0" fillId="0" borderId="11" xfId="0" applyBorder="1" applyAlignment="1">
      <alignment horizontal="center" vertical="top"/>
    </xf>
    <xf numFmtId="0" fontId="2" fillId="0" borderId="12" xfId="0" applyFont="1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/>
    </xf>
    <xf numFmtId="0" fontId="14" fillId="2" borderId="0" xfId="0" applyFont="1" applyFill="1" applyAlignment="1">
      <alignment horizontal="left" vertical="top" indent="1"/>
    </xf>
    <xf numFmtId="0" fontId="2" fillId="2" borderId="0" xfId="0" applyFont="1" applyFill="1" applyAlignment="1">
      <alignment horizontal="left" vertical="top"/>
    </xf>
    <xf numFmtId="9" fontId="0" fillId="10" borderId="0" xfId="0" applyNumberFormat="1" applyFill="1"/>
    <xf numFmtId="0" fontId="4" fillId="0" borderId="0" xfId="0" applyFont="1" applyAlignment="1">
      <alignment vertical="center" wrapText="1"/>
    </xf>
    <xf numFmtId="164" fontId="0" fillId="3" borderId="0" xfId="0" applyNumberFormat="1" applyFill="1"/>
    <xf numFmtId="167" fontId="0" fillId="10" borderId="0" xfId="18" applyNumberFormat="1" applyFont="1" applyFill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68" fontId="0" fillId="0" borderId="0" xfId="17" applyNumberFormat="1" applyFont="1"/>
    <xf numFmtId="0" fontId="45" fillId="0" borderId="0" xfId="0" applyFont="1"/>
    <xf numFmtId="168" fontId="45" fillId="0" borderId="0" xfId="17" applyNumberFormat="1" applyFont="1"/>
    <xf numFmtId="168" fontId="2" fillId="0" borderId="0" xfId="17" applyNumberFormat="1" applyFont="1"/>
    <xf numFmtId="0" fontId="2" fillId="10" borderId="0" xfId="0" applyFont="1" applyFill="1"/>
    <xf numFmtId="10" fontId="0" fillId="0" borderId="0" xfId="0" applyNumberFormat="1"/>
    <xf numFmtId="0" fontId="2" fillId="23" borderId="0" xfId="0" applyFont="1" applyFill="1"/>
    <xf numFmtId="0" fontId="0" fillId="23" borderId="0" xfId="0" applyFill="1"/>
    <xf numFmtId="9" fontId="0" fillId="0" borderId="0" xfId="17" applyFont="1"/>
    <xf numFmtId="0" fontId="46" fillId="0" borderId="0" xfId="0" applyFont="1"/>
    <xf numFmtId="0" fontId="2" fillId="0" borderId="5" xfId="0" applyFont="1" applyBorder="1"/>
    <xf numFmtId="49" fontId="2" fillId="0" borderId="0" xfId="0" applyNumberFormat="1" applyFont="1"/>
    <xf numFmtId="49" fontId="2" fillId="3" borderId="9" xfId="0" applyNumberFormat="1" applyFont="1" applyFill="1" applyBorder="1"/>
    <xf numFmtId="49" fontId="0" fillId="3" borderId="9" xfId="0" applyNumberFormat="1" applyFill="1" applyBorder="1"/>
    <xf numFmtId="2" fontId="0" fillId="3" borderId="0" xfId="0" applyNumberFormat="1" applyFill="1"/>
    <xf numFmtId="0" fontId="0" fillId="3" borderId="0" xfId="0" applyFill="1" applyAlignment="1">
      <alignment vertical="top" wrapText="1"/>
    </xf>
    <xf numFmtId="0" fontId="2" fillId="3" borderId="0" xfId="0" applyFont="1" applyFill="1" applyAlignment="1">
      <alignment vertical="top"/>
    </xf>
    <xf numFmtId="49" fontId="0" fillId="3" borderId="0" xfId="0" applyNumberFormat="1" applyFill="1" applyAlignment="1">
      <alignment vertical="top"/>
    </xf>
    <xf numFmtId="0" fontId="0" fillId="3" borderId="0" xfId="0" applyFill="1" applyAlignment="1">
      <alignment horizontal="left" vertical="top" indent="1"/>
    </xf>
    <xf numFmtId="0" fontId="2" fillId="3" borderId="0" xfId="0" applyFont="1" applyFill="1" applyAlignment="1">
      <alignment vertical="top" wrapText="1"/>
    </xf>
    <xf numFmtId="0" fontId="6" fillId="3" borderId="0" xfId="0" applyFont="1" applyFill="1" applyAlignment="1">
      <alignment vertical="top"/>
    </xf>
    <xf numFmtId="0" fontId="6" fillId="3" borderId="10" xfId="0" applyFont="1" applyFill="1" applyBorder="1" applyAlignment="1">
      <alignment vertical="top"/>
    </xf>
    <xf numFmtId="0" fontId="6" fillId="0" borderId="0" xfId="0" applyFont="1" applyAlignment="1">
      <alignment vertical="top"/>
    </xf>
    <xf numFmtId="3" fontId="47" fillId="3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0" fillId="3" borderId="9" xfId="0" applyFill="1" applyBorder="1" applyAlignment="1">
      <alignment wrapText="1"/>
    </xf>
    <xf numFmtId="17" fontId="3" fillId="3" borderId="0" xfId="0" applyNumberFormat="1" applyFont="1" applyFill="1" applyAlignment="1">
      <alignment wrapText="1"/>
    </xf>
    <xf numFmtId="0" fontId="0" fillId="3" borderId="10" xfId="0" applyFill="1" applyBorder="1" applyAlignment="1">
      <alignment wrapText="1"/>
    </xf>
    <xf numFmtId="0" fontId="21" fillId="3" borderId="0" xfId="0" applyFont="1" applyFill="1" applyAlignment="1">
      <alignment horizontal="left" vertical="top"/>
    </xf>
    <xf numFmtId="0" fontId="21" fillId="3" borderId="0" xfId="0" applyFont="1" applyFill="1"/>
    <xf numFmtId="0" fontId="2" fillId="3" borderId="0" xfId="0" applyFont="1" applyFill="1" applyAlignment="1">
      <alignment horizontal="center" vertical="center" wrapText="1"/>
    </xf>
    <xf numFmtId="3" fontId="48" fillId="3" borderId="1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Alignment="1">
      <alignment vertical="top"/>
    </xf>
    <xf numFmtId="0" fontId="4" fillId="3" borderId="0" xfId="0" applyFont="1" applyFill="1" applyAlignment="1">
      <alignment horizontal="left" vertical="top" indent="1"/>
    </xf>
    <xf numFmtId="0" fontId="4" fillId="3" borderId="0" xfId="0" applyFont="1" applyFill="1" applyAlignment="1">
      <alignment vertical="top"/>
    </xf>
    <xf numFmtId="49" fontId="49" fillId="3" borderId="9" xfId="0" applyNumberFormat="1" applyFont="1" applyFill="1" applyBorder="1" applyAlignment="1">
      <alignment horizontal="right" vertical="top"/>
    </xf>
    <xf numFmtId="0" fontId="13" fillId="3" borderId="0" xfId="0" applyFont="1" applyFill="1" applyAlignment="1">
      <alignment vertical="top"/>
    </xf>
    <xf numFmtId="0" fontId="49" fillId="3" borderId="0" xfId="0" applyFont="1" applyFill="1" applyAlignment="1">
      <alignment vertical="top"/>
    </xf>
    <xf numFmtId="0" fontId="21" fillId="3" borderId="0" xfId="0" applyFont="1" applyFill="1" applyAlignment="1">
      <alignment vertical="top" wrapText="1"/>
    </xf>
    <xf numFmtId="0" fontId="21" fillId="3" borderId="0" xfId="0" applyFont="1" applyFill="1" applyAlignment="1">
      <alignment vertical="top"/>
    </xf>
    <xf numFmtId="49" fontId="21" fillId="3" borderId="0" xfId="0" applyNumberFormat="1" applyFont="1" applyFill="1" applyAlignment="1">
      <alignment horizontal="left" vertical="top"/>
    </xf>
    <xf numFmtId="0" fontId="50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3" fontId="47" fillId="3" borderId="0" xfId="0" applyNumberFormat="1" applyFont="1" applyFill="1" applyAlignment="1">
      <alignment horizontal="center" vertical="center"/>
    </xf>
    <xf numFmtId="3" fontId="48" fillId="3" borderId="0" xfId="0" applyNumberFormat="1" applyFont="1" applyFill="1" applyAlignment="1">
      <alignment horizontal="center" vertical="center"/>
    </xf>
    <xf numFmtId="17" fontId="3" fillId="3" borderId="0" xfId="0" applyNumberFormat="1" applyFont="1" applyFill="1" applyAlignment="1">
      <alignment horizontal="center" wrapText="1"/>
    </xf>
    <xf numFmtId="3" fontId="30" fillId="3" borderId="0" xfId="0" applyNumberFormat="1" applyFont="1" applyFill="1" applyAlignment="1">
      <alignment horizontal="center" vertical="center"/>
    </xf>
    <xf numFmtId="9" fontId="2" fillId="3" borderId="0" xfId="0" applyNumberFormat="1" applyFont="1" applyFill="1" applyAlignment="1">
      <alignment wrapText="1"/>
    </xf>
    <xf numFmtId="0" fontId="51" fillId="3" borderId="0" xfId="0" applyFont="1" applyFill="1" applyAlignment="1">
      <alignment horizontal="center" wrapText="1"/>
    </xf>
    <xf numFmtId="0" fontId="0" fillId="24" borderId="0" xfId="0" applyFill="1"/>
    <xf numFmtId="0" fontId="0" fillId="0" borderId="0" xfId="0" quotePrefix="1" applyAlignment="1">
      <alignment vertical="top"/>
    </xf>
    <xf numFmtId="0" fontId="0" fillId="22" borderId="0" xfId="0" quotePrefix="1" applyFill="1"/>
    <xf numFmtId="0" fontId="6" fillId="0" borderId="0" xfId="0" quotePrefix="1" applyFont="1" applyAlignment="1">
      <alignment wrapText="1"/>
    </xf>
    <xf numFmtId="0" fontId="0" fillId="10" borderId="0" xfId="0" quotePrefix="1" applyFill="1"/>
    <xf numFmtId="16" fontId="0" fillId="10" borderId="0" xfId="0" quotePrefix="1" applyNumberFormat="1" applyFill="1" applyAlignment="1">
      <alignment horizontal="left" vertical="top"/>
    </xf>
    <xf numFmtId="0" fontId="0" fillId="0" borderId="0" xfId="0" quotePrefix="1" applyAlignment="1">
      <alignment vertical="top" wrapText="1"/>
    </xf>
    <xf numFmtId="0" fontId="0" fillId="22" borderId="0" xfId="0" quotePrefix="1" applyFill="1" applyAlignment="1">
      <alignment vertical="top" wrapText="1"/>
    </xf>
    <xf numFmtId="0" fontId="34" fillId="0" borderId="0" xfId="0" applyFont="1" applyAlignment="1">
      <alignment vertical="top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25" borderId="0" xfId="0" applyFont="1" applyFill="1"/>
    <xf numFmtId="0" fontId="0" fillId="25" borderId="0" xfId="0" applyFill="1"/>
    <xf numFmtId="0" fontId="0" fillId="0" borderId="0" xfId="0" applyFill="1" applyAlignment="1">
      <alignment horizontal="left" vertical="top"/>
    </xf>
    <xf numFmtId="0" fontId="0" fillId="0" borderId="0" xfId="0" applyFill="1" applyAlignment="1">
      <alignment vertical="top"/>
    </xf>
    <xf numFmtId="0" fontId="2" fillId="0" borderId="0" xfId="0" applyFont="1" applyFill="1" applyAlignment="1">
      <alignment vertical="top"/>
    </xf>
    <xf numFmtId="0" fontId="0" fillId="0" borderId="0" xfId="0" applyFill="1"/>
    <xf numFmtId="0" fontId="0" fillId="0" borderId="0" xfId="0" applyFill="1" applyAlignment="1">
      <alignment horizontal="left" vertical="top" indent="1"/>
    </xf>
    <xf numFmtId="0" fontId="4" fillId="2" borderId="0" xfId="0" applyFont="1" applyFill="1" applyAlignment="1">
      <alignment wrapText="1"/>
    </xf>
    <xf numFmtId="0" fontId="2" fillId="10" borderId="0" xfId="0" applyFont="1" applyFill="1" applyAlignment="1">
      <alignment horizontal="left" vertical="top"/>
    </xf>
    <xf numFmtId="0" fontId="10" fillId="0" borderId="2" xfId="1" applyFont="1" applyFill="1" applyBorder="1" applyAlignment="1">
      <alignment horizontal="left" vertical="center" indent="3"/>
    </xf>
    <xf numFmtId="0" fontId="10" fillId="0" borderId="0" xfId="1" applyFont="1" applyFill="1" applyAlignment="1">
      <alignment horizontal="left" vertical="center" indent="3"/>
    </xf>
    <xf numFmtId="0" fontId="16" fillId="0" borderId="2" xfId="1" applyFont="1" applyFill="1" applyBorder="1" applyAlignment="1">
      <alignment horizontal="left" vertical="center" indent="3"/>
    </xf>
    <xf numFmtId="0" fontId="16" fillId="0" borderId="0" xfId="1" applyFont="1" applyFill="1" applyAlignment="1">
      <alignment horizontal="left" vertical="center" indent="3"/>
    </xf>
    <xf numFmtId="0" fontId="0" fillId="6" borderId="0" xfId="0" quotePrefix="1" applyFill="1" applyAlignment="1">
      <alignment vertical="top" wrapText="1"/>
    </xf>
    <xf numFmtId="0" fontId="0" fillId="6" borderId="0" xfId="0" applyFill="1" applyAlignment="1">
      <alignment wrapText="1"/>
    </xf>
    <xf numFmtId="0" fontId="2" fillId="26" borderId="0" xfId="0" applyFont="1" applyFill="1"/>
    <xf numFmtId="0" fontId="3" fillId="26" borderId="0" xfId="0" applyFont="1" applyFill="1"/>
    <xf numFmtId="0" fontId="6" fillId="26" borderId="0" xfId="0" applyFont="1" applyFill="1"/>
    <xf numFmtId="0" fontId="0" fillId="26" borderId="0" xfId="0" applyFill="1"/>
    <xf numFmtId="0" fontId="0" fillId="26" borderId="0" xfId="0" applyFill="1" applyAlignment="1">
      <alignment vertical="top"/>
    </xf>
    <xf numFmtId="0" fontId="2" fillId="26" borderId="0" xfId="0" applyFont="1" applyFill="1" applyAlignment="1">
      <alignment vertical="top"/>
    </xf>
    <xf numFmtId="0" fontId="19" fillId="26" borderId="0" xfId="0" applyFont="1" applyFill="1"/>
    <xf numFmtId="0" fontId="21" fillId="26" borderId="0" xfId="0" applyFont="1" applyFill="1"/>
    <xf numFmtId="0" fontId="21" fillId="26" borderId="0" xfId="0" applyFont="1" applyFill="1" applyAlignment="1">
      <alignment wrapText="1"/>
    </xf>
    <xf numFmtId="0" fontId="19" fillId="26" borderId="9" xfId="0" applyFont="1" applyFill="1" applyBorder="1"/>
    <xf numFmtId="0" fontId="19" fillId="26" borderId="0" xfId="0" applyFont="1" applyFill="1" applyAlignment="1">
      <alignment horizontal="center"/>
    </xf>
    <xf numFmtId="0" fontId="22" fillId="26" borderId="10" xfId="0" applyFont="1" applyFill="1" applyBorder="1" applyAlignment="1">
      <alignment wrapText="1"/>
    </xf>
    <xf numFmtId="0" fontId="21" fillId="26" borderId="6" xfId="0" applyFont="1" applyFill="1" applyBorder="1" applyAlignment="1">
      <alignment horizontal="center" wrapText="1"/>
    </xf>
    <xf numFmtId="0" fontId="21" fillId="26" borderId="7" xfId="0" applyFont="1" applyFill="1" applyBorder="1" applyAlignment="1">
      <alignment horizontal="center" wrapText="1"/>
    </xf>
    <xf numFmtId="0" fontId="21" fillId="26" borderId="8" xfId="0" applyFont="1" applyFill="1" applyBorder="1" applyAlignment="1">
      <alignment horizontal="center" wrapText="1"/>
    </xf>
    <xf numFmtId="0" fontId="21" fillId="26" borderId="0" xfId="0" applyFont="1" applyFill="1" applyAlignment="1">
      <alignment horizontal="center" wrapText="1"/>
    </xf>
    <xf numFmtId="0" fontId="2" fillId="0" borderId="0" xfId="0" applyFont="1" applyAlignment="1">
      <alignment horizontal="center" vertical="center"/>
    </xf>
  </cellXfs>
  <cellStyles count="20">
    <cellStyle name="Comma" xfId="18" builtinId="3"/>
    <cellStyle name="Comma 2" xfId="4" xr:uid="{A2C29E1A-CD1B-4C0F-B6F1-0FBC7F3788E3}"/>
    <cellStyle name="Hyperlink" xfId="19" builtinId="8"/>
    <cellStyle name="Normal" xfId="0" builtinId="0"/>
    <cellStyle name="Normal 2" xfId="1" xr:uid="{D88B2DC7-2698-428B-9669-412DAC7CAF93}"/>
    <cellStyle name="Normal 3" xfId="16" xr:uid="{9E19C0C2-F754-491B-AB59-366A3FC6D2F0}"/>
    <cellStyle name="Percent" xfId="17" builtinId="5"/>
    <cellStyle name="Percent 2" xfId="2" xr:uid="{0ED1CFC4-A0EA-4C7D-AE11-59202EB5FC79}"/>
    <cellStyle name="Обычный 11" xfId="8" xr:uid="{79102DD7-C697-4F81-9D28-7218BB73D90C}"/>
    <cellStyle name="Обычный 2 3" xfId="5" xr:uid="{19AFBEE1-F8FA-451B-A48A-EDC7DB1690F2}"/>
    <cellStyle name="Обычный 3" xfId="15" xr:uid="{69DF0A86-561B-4F66-A873-A517CDEC941E}"/>
    <cellStyle name="Обычный 4" xfId="3" xr:uid="{BF5CFE95-3289-42FF-B872-5729DB5A9B1E}"/>
    <cellStyle name="Обычный 4 2" xfId="11" xr:uid="{B4E64E48-3864-4780-BB0C-CF657D42ACC3}"/>
    <cellStyle name="Обычный 6" xfId="10" xr:uid="{0876B005-41D5-45F1-81A4-39ABDB42D83D}"/>
    <cellStyle name="Обычный 8" xfId="9" xr:uid="{27D9439A-BA6A-4E74-9090-F479EA91AFCB}"/>
    <cellStyle name="Обычный 9 2" xfId="7" xr:uid="{B05CD1FB-0A7B-48DE-BBDD-A5287C078CA7}"/>
    <cellStyle name="Процентный 2" xfId="12" xr:uid="{332A660F-CBD2-42B1-B52E-D0AF393BA834}"/>
    <cellStyle name="Процентный 2 3" xfId="6" xr:uid="{D6D92FBF-7103-47BA-83F9-1B3DC9995D2E}"/>
    <cellStyle name="Финансовый 2" xfId="13" xr:uid="{761BB942-17EA-4AE5-BB37-C514EEFC2684}"/>
    <cellStyle name="Финансовый 3" xfId="14" xr:uid="{67C2C44F-A6D9-45DD-961B-E502D0F1B9A3}"/>
  </cellStyles>
  <dxfs count="4">
    <dxf>
      <fill>
        <patternFill>
          <bgColor rgb="FF82D6CC"/>
        </patternFill>
      </fill>
    </dxf>
    <dxf>
      <fill>
        <patternFill>
          <bgColor rgb="FF82D6CC"/>
        </patternFill>
      </fill>
    </dxf>
    <dxf>
      <font>
        <color theme="0"/>
      </font>
      <fill>
        <patternFill>
          <bgColor rgb="FF8158EF"/>
        </patternFill>
      </fill>
    </dxf>
    <dxf>
      <border>
        <left style="thin">
          <color rgb="FF8158EF"/>
        </left>
        <right style="thin">
          <color rgb="FF8158EF"/>
        </right>
        <top style="thin">
          <color rgb="FF8158EF"/>
        </top>
        <bottom style="thin">
          <color rgb="FF8158EF"/>
        </bottom>
        <vertical style="thin">
          <color rgb="FF8158EF"/>
        </vertical>
        <horizontal style="thin">
          <color rgb="FF8158EF"/>
        </horizontal>
      </border>
    </dxf>
  </dxfs>
  <tableStyles count="1" defaultTableStyle="TableStyleMedium2" defaultPivotStyle="PivotStyleLight16">
    <tableStyle name="Стиль сводной таблицы 1" table="0" count="4" xr9:uid="{AC27C72C-ADE8-4D40-B1CD-578E2270CB10}">
      <tableStyleElement type="wholeTable" dxfId="3"/>
      <tableStyleElement type="headerRow" dxfId="2"/>
      <tableStyleElement type="firstRowStripe" dxfId="1"/>
      <tableStyleElement type="firstSubtotalRow" dxfId="0"/>
    </tableStyle>
  </tableStyles>
  <colors>
    <mruColors>
      <color rgb="FFFFFFCC"/>
      <color rgb="FFFFA195"/>
      <color rgb="FF92FFA4"/>
      <color rgb="FFA0E4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1688353</xdr:colOff>
      <xdr:row>10</xdr:row>
      <xdr:rowOff>209177</xdr:rowOff>
    </xdr:from>
    <xdr:to>
      <xdr:col>7</xdr:col>
      <xdr:colOff>2330823</xdr:colOff>
      <xdr:row>11</xdr:row>
      <xdr:rowOff>179294</xdr:rowOff>
    </xdr:to>
    <xdr:cxnSp macro="">
      <xdr:nvCxnSpPr>
        <xdr:cNvPr id="3" name="Соединительная линия уступом 2">
          <a:extLst>
            <a:ext uri="{FF2B5EF4-FFF2-40B4-BE49-F238E27FC236}">
              <a16:creationId xmlns:a16="http://schemas.microsoft.com/office/drawing/2014/main" id="{43EFE0DD-EF7B-1841-9EF3-C2CB31536013}"/>
            </a:ext>
          </a:extLst>
        </xdr:cNvPr>
        <xdr:cNvCxnSpPr/>
      </xdr:nvCxnSpPr>
      <xdr:spPr>
        <a:xfrm flipV="1">
          <a:off x="9965765" y="2599765"/>
          <a:ext cx="642470" cy="612588"/>
        </a:xfrm>
        <a:prstGeom prst="bentConnector3">
          <a:avLst>
            <a:gd name="adj1" fmla="val -1163"/>
          </a:avLst>
        </a:prstGeom>
        <a:ln>
          <a:headEnd type="triangle"/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14941</xdr:colOff>
      <xdr:row>15</xdr:row>
      <xdr:rowOff>283883</xdr:rowOff>
    </xdr:from>
    <xdr:to>
      <xdr:col>8</xdr:col>
      <xdr:colOff>1105647</xdr:colOff>
      <xdr:row>16</xdr:row>
      <xdr:rowOff>179294</xdr:rowOff>
    </xdr:to>
    <xdr:cxnSp macro="">
      <xdr:nvCxnSpPr>
        <xdr:cNvPr id="6" name="Соединительная линия уступом 5">
          <a:extLst>
            <a:ext uri="{FF2B5EF4-FFF2-40B4-BE49-F238E27FC236}">
              <a16:creationId xmlns:a16="http://schemas.microsoft.com/office/drawing/2014/main" id="{35B60D4B-5F79-3246-BA51-AC70F0A26CE6}"/>
            </a:ext>
          </a:extLst>
        </xdr:cNvPr>
        <xdr:cNvCxnSpPr/>
      </xdr:nvCxnSpPr>
      <xdr:spPr>
        <a:xfrm>
          <a:off x="10653059" y="4452471"/>
          <a:ext cx="1090706" cy="537882"/>
        </a:xfrm>
        <a:prstGeom prst="bentConnector3">
          <a:avLst>
            <a:gd name="adj1" fmla="val 99315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1138519</xdr:colOff>
      <xdr:row>15</xdr:row>
      <xdr:rowOff>268941</xdr:rowOff>
    </xdr:from>
    <xdr:to>
      <xdr:col>7</xdr:col>
      <xdr:colOff>0</xdr:colOff>
      <xdr:row>16</xdr:row>
      <xdr:rowOff>152399</xdr:rowOff>
    </xdr:to>
    <xdr:cxnSp macro="">
      <xdr:nvCxnSpPr>
        <xdr:cNvPr id="10" name="Соединительная линия уступом 9">
          <a:extLst>
            <a:ext uri="{FF2B5EF4-FFF2-40B4-BE49-F238E27FC236}">
              <a16:creationId xmlns:a16="http://schemas.microsoft.com/office/drawing/2014/main" id="{E02C9E65-3962-5E4C-86DC-D9869CF255A0}"/>
            </a:ext>
          </a:extLst>
        </xdr:cNvPr>
        <xdr:cNvCxnSpPr/>
      </xdr:nvCxnSpPr>
      <xdr:spPr>
        <a:xfrm rot="10800000" flipV="1">
          <a:off x="7249460" y="4437529"/>
          <a:ext cx="1027952" cy="525929"/>
        </a:xfrm>
        <a:prstGeom prst="bentConnector3">
          <a:avLst>
            <a:gd name="adj1" fmla="val 99419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1195294</xdr:colOff>
      <xdr:row>13</xdr:row>
      <xdr:rowOff>14941</xdr:rowOff>
    </xdr:from>
    <xdr:to>
      <xdr:col>7</xdr:col>
      <xdr:colOff>1195294</xdr:colOff>
      <xdr:row>15</xdr:row>
      <xdr:rowOff>0</xdr:rowOff>
    </xdr:to>
    <xdr:cxnSp macro="">
      <xdr:nvCxnSpPr>
        <xdr:cNvPr id="14" name="Прямая со стрелкой 13">
          <a:extLst>
            <a:ext uri="{FF2B5EF4-FFF2-40B4-BE49-F238E27FC236}">
              <a16:creationId xmlns:a16="http://schemas.microsoft.com/office/drawing/2014/main" id="{E6357BC8-6180-3B44-9E26-46DDC61CC56B}"/>
            </a:ext>
          </a:extLst>
        </xdr:cNvPr>
        <xdr:cNvCxnSpPr/>
      </xdr:nvCxnSpPr>
      <xdr:spPr>
        <a:xfrm flipV="1">
          <a:off x="9472706" y="3795059"/>
          <a:ext cx="0" cy="37352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44824</xdr:colOff>
      <xdr:row>3</xdr:row>
      <xdr:rowOff>209176</xdr:rowOff>
    </xdr:from>
    <xdr:to>
      <xdr:col>7</xdr:col>
      <xdr:colOff>1030942</xdr:colOff>
      <xdr:row>11</xdr:row>
      <xdr:rowOff>194234</xdr:rowOff>
    </xdr:to>
    <xdr:cxnSp macro="">
      <xdr:nvCxnSpPr>
        <xdr:cNvPr id="16" name="Соединительная линия уступом 15">
          <a:extLst>
            <a:ext uri="{FF2B5EF4-FFF2-40B4-BE49-F238E27FC236}">
              <a16:creationId xmlns:a16="http://schemas.microsoft.com/office/drawing/2014/main" id="{010E006B-DA49-FF40-BA62-3BF5A621C42E}"/>
            </a:ext>
          </a:extLst>
        </xdr:cNvPr>
        <xdr:cNvCxnSpPr/>
      </xdr:nvCxnSpPr>
      <xdr:spPr>
        <a:xfrm rot="16200000" flipH="1">
          <a:off x="7612530" y="1531470"/>
          <a:ext cx="2405529" cy="986118"/>
        </a:xfrm>
        <a:prstGeom prst="bentConnector3">
          <a:avLst>
            <a:gd name="adj1" fmla="val -31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14941</xdr:colOff>
      <xdr:row>3</xdr:row>
      <xdr:rowOff>59765</xdr:rowOff>
    </xdr:from>
    <xdr:to>
      <xdr:col>8</xdr:col>
      <xdr:colOff>14941</xdr:colOff>
      <xdr:row>3</xdr:row>
      <xdr:rowOff>74706</xdr:rowOff>
    </xdr:to>
    <xdr:cxnSp macro="">
      <xdr:nvCxnSpPr>
        <xdr:cNvPr id="19" name="Прямая со стрелкой 18">
          <a:extLst>
            <a:ext uri="{FF2B5EF4-FFF2-40B4-BE49-F238E27FC236}">
              <a16:creationId xmlns:a16="http://schemas.microsoft.com/office/drawing/2014/main" id="{6A6D50AC-FDD4-9C47-9C32-CA5C242FFB12}"/>
            </a:ext>
          </a:extLst>
        </xdr:cNvPr>
        <xdr:cNvCxnSpPr/>
      </xdr:nvCxnSpPr>
      <xdr:spPr>
        <a:xfrm>
          <a:off x="8292353" y="672353"/>
          <a:ext cx="2360706" cy="1494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29882</xdr:colOff>
      <xdr:row>10</xdr:row>
      <xdr:rowOff>89647</xdr:rowOff>
    </xdr:from>
    <xdr:to>
      <xdr:col>7</xdr:col>
      <xdr:colOff>2315882</xdr:colOff>
      <xdr:row>10</xdr:row>
      <xdr:rowOff>89647</xdr:rowOff>
    </xdr:to>
    <xdr:cxnSp macro="">
      <xdr:nvCxnSpPr>
        <xdr:cNvPr id="22" name="Прямая со стрелкой 21">
          <a:extLst>
            <a:ext uri="{FF2B5EF4-FFF2-40B4-BE49-F238E27FC236}">
              <a16:creationId xmlns:a16="http://schemas.microsoft.com/office/drawing/2014/main" id="{CD7705A7-8C9F-EC44-8C82-8FD721028A6C}"/>
            </a:ext>
          </a:extLst>
        </xdr:cNvPr>
        <xdr:cNvCxnSpPr/>
      </xdr:nvCxnSpPr>
      <xdr:spPr>
        <a:xfrm>
          <a:off x="8307294" y="2480235"/>
          <a:ext cx="2286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14941</xdr:colOff>
      <xdr:row>10</xdr:row>
      <xdr:rowOff>388471</xdr:rowOff>
    </xdr:from>
    <xdr:to>
      <xdr:col>7</xdr:col>
      <xdr:colOff>597647</xdr:colOff>
      <xdr:row>12</xdr:row>
      <xdr:rowOff>0</xdr:rowOff>
    </xdr:to>
    <xdr:cxnSp macro="">
      <xdr:nvCxnSpPr>
        <xdr:cNvPr id="24" name="Соединительная линия уступом 23">
          <a:extLst>
            <a:ext uri="{FF2B5EF4-FFF2-40B4-BE49-F238E27FC236}">
              <a16:creationId xmlns:a16="http://schemas.microsoft.com/office/drawing/2014/main" id="{168E6026-D85A-6D44-BC15-1A0DA00E6272}"/>
            </a:ext>
          </a:extLst>
        </xdr:cNvPr>
        <xdr:cNvCxnSpPr/>
      </xdr:nvCxnSpPr>
      <xdr:spPr>
        <a:xfrm>
          <a:off x="8292353" y="2779059"/>
          <a:ext cx="582706" cy="448235"/>
        </a:xfrm>
        <a:prstGeom prst="bentConnector3">
          <a:avLst>
            <a:gd name="adj1" fmla="val 98718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29884</xdr:colOff>
      <xdr:row>7</xdr:row>
      <xdr:rowOff>224118</xdr:rowOff>
    </xdr:from>
    <xdr:to>
      <xdr:col>6</xdr:col>
      <xdr:colOff>2136589</xdr:colOff>
      <xdr:row>12</xdr:row>
      <xdr:rowOff>328706</xdr:rowOff>
    </xdr:to>
    <xdr:cxnSp macro="">
      <xdr:nvCxnSpPr>
        <xdr:cNvPr id="27" name="Соединительная линия уступом 26">
          <a:extLst>
            <a:ext uri="{FF2B5EF4-FFF2-40B4-BE49-F238E27FC236}">
              <a16:creationId xmlns:a16="http://schemas.microsoft.com/office/drawing/2014/main" id="{BF1E3A28-80CD-F545-9ED6-141C95BE4FEF}"/>
            </a:ext>
          </a:extLst>
        </xdr:cNvPr>
        <xdr:cNvCxnSpPr/>
      </xdr:nvCxnSpPr>
      <xdr:spPr>
        <a:xfrm rot="10800000">
          <a:off x="6140825" y="1822824"/>
          <a:ext cx="2106705" cy="1733176"/>
        </a:xfrm>
        <a:prstGeom prst="bentConnector3">
          <a:avLst>
            <a:gd name="adj1" fmla="val 12163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577102</xdr:colOff>
      <xdr:row>28</xdr:row>
      <xdr:rowOff>22411</xdr:rowOff>
    </xdr:from>
    <xdr:to>
      <xdr:col>3</xdr:col>
      <xdr:colOff>851647</xdr:colOff>
      <xdr:row>29</xdr:row>
      <xdr:rowOff>89646</xdr:rowOff>
    </xdr:to>
    <xdr:cxnSp macro="">
      <xdr:nvCxnSpPr>
        <xdr:cNvPr id="5" name="Connector: Curved 4">
          <a:extLst>
            <a:ext uri="{FF2B5EF4-FFF2-40B4-BE49-F238E27FC236}">
              <a16:creationId xmlns:a16="http://schemas.microsoft.com/office/drawing/2014/main" id="{FFF50512-6885-40E2-839C-29F079949005}"/>
            </a:ext>
          </a:extLst>
        </xdr:cNvPr>
        <xdr:cNvCxnSpPr/>
      </xdr:nvCxnSpPr>
      <xdr:spPr>
        <a:xfrm>
          <a:off x="1221441" y="5440456"/>
          <a:ext cx="1176618" cy="246529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5087469</xdr:colOff>
      <xdr:row>31</xdr:row>
      <xdr:rowOff>67235</xdr:rowOff>
    </xdr:from>
    <xdr:to>
      <xdr:col>6</xdr:col>
      <xdr:colOff>5089070</xdr:colOff>
      <xdr:row>34</xdr:row>
      <xdr:rowOff>68035</xdr:rowOff>
    </xdr:to>
    <xdr:cxnSp macro="">
      <xdr:nvCxnSpPr>
        <xdr:cNvPr id="7" name="Connector: Curved 6">
          <a:extLst>
            <a:ext uri="{FF2B5EF4-FFF2-40B4-BE49-F238E27FC236}">
              <a16:creationId xmlns:a16="http://schemas.microsoft.com/office/drawing/2014/main" id="{4E1B5F13-784B-742F-589F-D227B15ED2E4}"/>
            </a:ext>
          </a:extLst>
        </xdr:cNvPr>
        <xdr:cNvCxnSpPr/>
      </xdr:nvCxnSpPr>
      <xdr:spPr>
        <a:xfrm rot="16200000" flipH="1">
          <a:off x="9384325" y="6411165"/>
          <a:ext cx="551890" cy="1601"/>
        </a:xfrm>
        <a:prstGeom prst="curved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386603</xdr:colOff>
      <xdr:row>28</xdr:row>
      <xdr:rowOff>112057</xdr:rowOff>
    </xdr:from>
    <xdr:to>
      <xdr:col>3</xdr:col>
      <xdr:colOff>902074</xdr:colOff>
      <xdr:row>37</xdr:row>
      <xdr:rowOff>145675</xdr:rowOff>
    </xdr:to>
    <xdr:cxnSp macro="">
      <xdr:nvCxnSpPr>
        <xdr:cNvPr id="9" name="Connector: Curved 8">
          <a:extLst>
            <a:ext uri="{FF2B5EF4-FFF2-40B4-BE49-F238E27FC236}">
              <a16:creationId xmlns:a16="http://schemas.microsoft.com/office/drawing/2014/main" id="{7814D7FC-0204-475A-BA67-87180589A3E9}"/>
            </a:ext>
          </a:extLst>
        </xdr:cNvPr>
        <xdr:cNvCxnSpPr/>
      </xdr:nvCxnSpPr>
      <xdr:spPr>
        <a:xfrm rot="16200000" flipH="1">
          <a:off x="916081" y="5644963"/>
          <a:ext cx="1647265" cy="1417544"/>
        </a:xfrm>
        <a:prstGeom prst="curvedConnector3">
          <a:avLst>
            <a:gd name="adj1" fmla="val 8707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246532</xdr:colOff>
      <xdr:row>28</xdr:row>
      <xdr:rowOff>145678</xdr:rowOff>
    </xdr:from>
    <xdr:to>
      <xdr:col>3</xdr:col>
      <xdr:colOff>834841</xdr:colOff>
      <xdr:row>42</xdr:row>
      <xdr:rowOff>145679</xdr:rowOff>
    </xdr:to>
    <xdr:cxnSp macro="">
      <xdr:nvCxnSpPr>
        <xdr:cNvPr id="14" name="Connector: Curved 13">
          <a:extLst>
            <a:ext uri="{FF2B5EF4-FFF2-40B4-BE49-F238E27FC236}">
              <a16:creationId xmlns:a16="http://schemas.microsoft.com/office/drawing/2014/main" id="{578A46BC-0AD8-4E73-9B75-04E0C726A8F6}"/>
            </a:ext>
          </a:extLst>
        </xdr:cNvPr>
        <xdr:cNvCxnSpPr/>
      </xdr:nvCxnSpPr>
      <xdr:spPr>
        <a:xfrm rot="16200000" flipH="1">
          <a:off x="381003" y="6073591"/>
          <a:ext cx="2510118" cy="1490382"/>
        </a:xfrm>
        <a:prstGeom prst="curvedConnector3">
          <a:avLst>
            <a:gd name="adj1" fmla="val 9196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459441</xdr:colOff>
      <xdr:row>30</xdr:row>
      <xdr:rowOff>28014</xdr:rowOff>
    </xdr:from>
    <xdr:to>
      <xdr:col>5</xdr:col>
      <xdr:colOff>582705</xdr:colOff>
      <xdr:row>31</xdr:row>
      <xdr:rowOff>134470</xdr:rowOff>
    </xdr:to>
    <xdr:cxnSp macro="">
      <xdr:nvCxnSpPr>
        <xdr:cNvPr id="31" name="Connector: Curved 30">
          <a:extLst>
            <a:ext uri="{FF2B5EF4-FFF2-40B4-BE49-F238E27FC236}">
              <a16:creationId xmlns:a16="http://schemas.microsoft.com/office/drawing/2014/main" id="{5728B910-FF76-4F25-A8D0-18E37C51ECAC}"/>
            </a:ext>
          </a:extLst>
        </xdr:cNvPr>
        <xdr:cNvCxnSpPr/>
      </xdr:nvCxnSpPr>
      <xdr:spPr>
        <a:xfrm>
          <a:off x="3350559" y="5804647"/>
          <a:ext cx="767602" cy="285750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240926</xdr:colOff>
      <xdr:row>30</xdr:row>
      <xdr:rowOff>33617</xdr:rowOff>
    </xdr:from>
    <xdr:to>
      <xdr:col>5</xdr:col>
      <xdr:colOff>537882</xdr:colOff>
      <xdr:row>34</xdr:row>
      <xdr:rowOff>72838</xdr:rowOff>
    </xdr:to>
    <xdr:cxnSp macro="">
      <xdr:nvCxnSpPr>
        <xdr:cNvPr id="34" name="Connector: Curved 33">
          <a:extLst>
            <a:ext uri="{FF2B5EF4-FFF2-40B4-BE49-F238E27FC236}">
              <a16:creationId xmlns:a16="http://schemas.microsoft.com/office/drawing/2014/main" id="{DD021A4D-9C33-4546-8310-8558DD3BA88D}"/>
            </a:ext>
          </a:extLst>
        </xdr:cNvPr>
        <xdr:cNvCxnSpPr/>
      </xdr:nvCxnSpPr>
      <xdr:spPr>
        <a:xfrm>
          <a:off x="3132044" y="5810250"/>
          <a:ext cx="941294" cy="756397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84044</xdr:colOff>
      <xdr:row>27</xdr:row>
      <xdr:rowOff>106455</xdr:rowOff>
    </xdr:from>
    <xdr:to>
      <xdr:col>3</xdr:col>
      <xdr:colOff>834838</xdr:colOff>
      <xdr:row>27</xdr:row>
      <xdr:rowOff>117661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5B16D1C6-A61A-75A3-9B6A-DCF432355328}"/>
            </a:ext>
          </a:extLst>
        </xdr:cNvPr>
        <xdr:cNvCxnSpPr/>
      </xdr:nvCxnSpPr>
      <xdr:spPr>
        <a:xfrm>
          <a:off x="1630456" y="5345206"/>
          <a:ext cx="750794" cy="112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212911</xdr:colOff>
      <xdr:row>29</xdr:row>
      <xdr:rowOff>95249</xdr:rowOff>
    </xdr:from>
    <xdr:to>
      <xdr:col>5</xdr:col>
      <xdr:colOff>638735</xdr:colOff>
      <xdr:row>29</xdr:row>
      <xdr:rowOff>95249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818F1EB3-0CC4-435B-9D2F-20B3F030805F}"/>
            </a:ext>
          </a:extLst>
        </xdr:cNvPr>
        <xdr:cNvCxnSpPr/>
      </xdr:nvCxnSpPr>
      <xdr:spPr>
        <a:xfrm>
          <a:off x="3748367" y="5692588"/>
          <a:ext cx="425824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4633232</xdr:colOff>
      <xdr:row>35</xdr:row>
      <xdr:rowOff>81644</xdr:rowOff>
    </xdr:from>
    <xdr:to>
      <xdr:col>6</xdr:col>
      <xdr:colOff>4782911</xdr:colOff>
      <xdr:row>37</xdr:row>
      <xdr:rowOff>0</xdr:rowOff>
    </xdr:to>
    <xdr:sp macro="" textlink="">
      <xdr:nvSpPr>
        <xdr:cNvPr id="47" name="Arrow: Curved Left 46">
          <a:extLst>
            <a:ext uri="{FF2B5EF4-FFF2-40B4-BE49-F238E27FC236}">
              <a16:creationId xmlns:a16="http://schemas.microsoft.com/office/drawing/2014/main" id="{20F58D9B-B58B-99AC-EA3C-2AEBAA5A158D}"/>
            </a:ext>
          </a:extLst>
        </xdr:cNvPr>
        <xdr:cNvSpPr/>
      </xdr:nvSpPr>
      <xdr:spPr>
        <a:xfrm>
          <a:off x="9205232" y="6885215"/>
          <a:ext cx="149679" cy="285749"/>
        </a:xfrm>
        <a:prstGeom prst="curvedLeftArrow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4446879</xdr:colOff>
      <xdr:row>35</xdr:row>
      <xdr:rowOff>81907</xdr:rowOff>
    </xdr:from>
    <xdr:to>
      <xdr:col>6</xdr:col>
      <xdr:colOff>4596558</xdr:colOff>
      <xdr:row>37</xdr:row>
      <xdr:rowOff>263</xdr:rowOff>
    </xdr:to>
    <xdr:sp macro="" textlink="">
      <xdr:nvSpPr>
        <xdr:cNvPr id="48" name="Arrow: Curved Left 47">
          <a:extLst>
            <a:ext uri="{FF2B5EF4-FFF2-40B4-BE49-F238E27FC236}">
              <a16:creationId xmlns:a16="http://schemas.microsoft.com/office/drawing/2014/main" id="{2030C40E-8DA7-42FE-9BAE-22E6EA02AC8A}"/>
            </a:ext>
          </a:extLst>
        </xdr:cNvPr>
        <xdr:cNvSpPr/>
      </xdr:nvSpPr>
      <xdr:spPr>
        <a:xfrm rot="11228290">
          <a:off x="9018879" y="6885478"/>
          <a:ext cx="149679" cy="285749"/>
        </a:xfrm>
        <a:prstGeom prst="curvedLeftArrow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8</xdr:row>
      <xdr:rowOff>123825</xdr:rowOff>
    </xdr:from>
    <xdr:to>
      <xdr:col>6</xdr:col>
      <xdr:colOff>523875</xdr:colOff>
      <xdr:row>27</xdr:row>
      <xdr:rowOff>0</xdr:rowOff>
    </xdr:to>
    <xdr:cxnSp macro="">
      <xdr:nvCxnSpPr>
        <xdr:cNvPr id="2" name="Прямая со стрелкой 1">
          <a:extLst>
            <a:ext uri="{FF2B5EF4-FFF2-40B4-BE49-F238E27FC236}">
              <a16:creationId xmlns:a16="http://schemas.microsoft.com/office/drawing/2014/main" id="{1894B46B-51E2-F94E-B8B3-213B927D5DA9}"/>
            </a:ext>
          </a:extLst>
        </xdr:cNvPr>
        <xdr:cNvCxnSpPr/>
      </xdr:nvCxnSpPr>
      <xdr:spPr>
        <a:xfrm flipV="1">
          <a:off x="5203825" y="1660525"/>
          <a:ext cx="1111250" cy="3546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24</xdr:row>
      <xdr:rowOff>133350</xdr:rowOff>
    </xdr:from>
    <xdr:to>
      <xdr:col>6</xdr:col>
      <xdr:colOff>466725</xdr:colOff>
      <xdr:row>27</xdr:row>
      <xdr:rowOff>133350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3F83A78E-180F-5C46-88C6-BD3C42E01F09}"/>
            </a:ext>
          </a:extLst>
        </xdr:cNvPr>
        <xdr:cNvCxnSpPr/>
      </xdr:nvCxnSpPr>
      <xdr:spPr>
        <a:xfrm flipV="1">
          <a:off x="5251450" y="4756150"/>
          <a:ext cx="1006475" cy="584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28</xdr:row>
      <xdr:rowOff>28575</xdr:rowOff>
    </xdr:from>
    <xdr:to>
      <xdr:col>6</xdr:col>
      <xdr:colOff>419100</xdr:colOff>
      <xdr:row>47</xdr:row>
      <xdr:rowOff>38100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53143F94-A0AB-2D42-A6BB-0DB22916DEAC}"/>
            </a:ext>
          </a:extLst>
        </xdr:cNvPr>
        <xdr:cNvCxnSpPr/>
      </xdr:nvCxnSpPr>
      <xdr:spPr>
        <a:xfrm>
          <a:off x="5194300" y="5438775"/>
          <a:ext cx="1016000" cy="3781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2333625</xdr:colOff>
      <xdr:row>28</xdr:row>
      <xdr:rowOff>123825</xdr:rowOff>
    </xdr:from>
    <xdr:to>
      <xdr:col>6</xdr:col>
      <xdr:colOff>447675</xdr:colOff>
      <xdr:row>61</xdr:row>
      <xdr:rowOff>57150</xdr:rowOff>
    </xdr:to>
    <xdr:cxnSp macro="">
      <xdr:nvCxnSpPr>
        <xdr:cNvPr id="5" name="Прямая со стрелкой 4">
          <a:extLst>
            <a:ext uri="{FF2B5EF4-FFF2-40B4-BE49-F238E27FC236}">
              <a16:creationId xmlns:a16="http://schemas.microsoft.com/office/drawing/2014/main" id="{CC3E8BB6-A3A3-684C-BD93-17A232004FE2}"/>
            </a:ext>
          </a:extLst>
        </xdr:cNvPr>
        <xdr:cNvCxnSpPr/>
      </xdr:nvCxnSpPr>
      <xdr:spPr>
        <a:xfrm>
          <a:off x="4746625" y="5534025"/>
          <a:ext cx="1492250" cy="6461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2274794</xdr:colOff>
      <xdr:row>23</xdr:row>
      <xdr:rowOff>76201</xdr:rowOff>
    </xdr:from>
    <xdr:to>
      <xdr:col>10</xdr:col>
      <xdr:colOff>533401</xdr:colOff>
      <xdr:row>26</xdr:row>
      <xdr:rowOff>56030</xdr:rowOff>
    </xdr:to>
    <xdr:cxnSp macro="">
      <xdr:nvCxnSpPr>
        <xdr:cNvPr id="6" name="Прямая со стрелкой 5">
          <a:extLst>
            <a:ext uri="{FF2B5EF4-FFF2-40B4-BE49-F238E27FC236}">
              <a16:creationId xmlns:a16="http://schemas.microsoft.com/office/drawing/2014/main" id="{C17B6E4E-07CF-0B42-9EBC-D38985BA8886}"/>
            </a:ext>
          </a:extLst>
        </xdr:cNvPr>
        <xdr:cNvCxnSpPr/>
      </xdr:nvCxnSpPr>
      <xdr:spPr>
        <a:xfrm flipH="1">
          <a:off x="8764494" y="4495801"/>
          <a:ext cx="2335307" cy="576729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228601</xdr:colOff>
      <xdr:row>61</xdr:row>
      <xdr:rowOff>104776</xdr:rowOff>
    </xdr:from>
    <xdr:to>
      <xdr:col>10</xdr:col>
      <xdr:colOff>485775</xdr:colOff>
      <xdr:row>62</xdr:row>
      <xdr:rowOff>85725</xdr:rowOff>
    </xdr:to>
    <xdr:cxnSp macro="">
      <xdr:nvCxnSpPr>
        <xdr:cNvPr id="7" name="Прямая со стрелкой 6">
          <a:extLst>
            <a:ext uri="{FF2B5EF4-FFF2-40B4-BE49-F238E27FC236}">
              <a16:creationId xmlns:a16="http://schemas.microsoft.com/office/drawing/2014/main" id="{5BB35AD5-E525-2540-88A5-1DF4F1DD182B}"/>
            </a:ext>
          </a:extLst>
        </xdr:cNvPr>
        <xdr:cNvCxnSpPr/>
      </xdr:nvCxnSpPr>
      <xdr:spPr>
        <a:xfrm flipH="1" flipV="1">
          <a:off x="9423401" y="12042776"/>
          <a:ext cx="1628774" cy="1841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2092699</xdr:colOff>
      <xdr:row>3</xdr:row>
      <xdr:rowOff>134471</xdr:rowOff>
    </xdr:from>
    <xdr:to>
      <xdr:col>6</xdr:col>
      <xdr:colOff>437029</xdr:colOff>
      <xdr:row>26</xdr:row>
      <xdr:rowOff>44824</xdr:rowOff>
    </xdr:to>
    <xdr:cxnSp macro="">
      <xdr:nvCxnSpPr>
        <xdr:cNvPr id="8" name="Прямая со стрелкой 7">
          <a:extLst>
            <a:ext uri="{FF2B5EF4-FFF2-40B4-BE49-F238E27FC236}">
              <a16:creationId xmlns:a16="http://schemas.microsoft.com/office/drawing/2014/main" id="{55BDCE55-D6AF-464E-A437-0F2153FCAEEB}"/>
            </a:ext>
          </a:extLst>
        </xdr:cNvPr>
        <xdr:cNvCxnSpPr/>
      </xdr:nvCxnSpPr>
      <xdr:spPr>
        <a:xfrm flipV="1">
          <a:off x="4505699" y="705971"/>
          <a:ext cx="1722530" cy="43553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1905002</xdr:colOff>
      <xdr:row>53</xdr:row>
      <xdr:rowOff>89649</xdr:rowOff>
    </xdr:from>
    <xdr:to>
      <xdr:col>10</xdr:col>
      <xdr:colOff>526676</xdr:colOff>
      <xdr:row>55</xdr:row>
      <xdr:rowOff>78441</xdr:rowOff>
    </xdr:to>
    <xdr:cxnSp macro="">
      <xdr:nvCxnSpPr>
        <xdr:cNvPr id="9" name="Прямая со стрелкой 8">
          <a:extLst>
            <a:ext uri="{FF2B5EF4-FFF2-40B4-BE49-F238E27FC236}">
              <a16:creationId xmlns:a16="http://schemas.microsoft.com/office/drawing/2014/main" id="{D94DB760-DDCF-8B4E-B572-72171AD9E985}"/>
            </a:ext>
          </a:extLst>
        </xdr:cNvPr>
        <xdr:cNvCxnSpPr/>
      </xdr:nvCxnSpPr>
      <xdr:spPr>
        <a:xfrm flipH="1" flipV="1">
          <a:off x="8394702" y="10490949"/>
          <a:ext cx="2698374" cy="369792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1949823</xdr:colOff>
      <xdr:row>48</xdr:row>
      <xdr:rowOff>67235</xdr:rowOff>
    </xdr:from>
    <xdr:to>
      <xdr:col>7</xdr:col>
      <xdr:colOff>2274794</xdr:colOff>
      <xdr:row>52</xdr:row>
      <xdr:rowOff>134471</xdr:rowOff>
    </xdr:to>
    <xdr:sp macro="" textlink="">
      <xdr:nvSpPr>
        <xdr:cNvPr id="10" name="Правая фигурная скобка 42">
          <a:extLst>
            <a:ext uri="{FF2B5EF4-FFF2-40B4-BE49-F238E27FC236}">
              <a16:creationId xmlns:a16="http://schemas.microsoft.com/office/drawing/2014/main" id="{45EE642C-230A-0546-B45D-534BD7D522AD}"/>
            </a:ext>
          </a:extLst>
        </xdr:cNvPr>
        <xdr:cNvSpPr/>
      </xdr:nvSpPr>
      <xdr:spPr>
        <a:xfrm>
          <a:off x="8439523" y="9452535"/>
          <a:ext cx="324971" cy="880036"/>
        </a:xfrm>
        <a:prstGeom prst="rightBrace">
          <a:avLst/>
        </a:prstGeom>
        <a:ln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</xdr:col>
      <xdr:colOff>96374</xdr:colOff>
      <xdr:row>50</xdr:row>
      <xdr:rowOff>85166</xdr:rowOff>
    </xdr:from>
    <xdr:to>
      <xdr:col>10</xdr:col>
      <xdr:colOff>145676</xdr:colOff>
      <xdr:row>50</xdr:row>
      <xdr:rowOff>89647</xdr:rowOff>
    </xdr:to>
    <xdr:cxnSp macro="">
      <xdr:nvCxnSpPr>
        <xdr:cNvPr id="11" name="Прямая со стрелкой 10">
          <a:extLst>
            <a:ext uri="{FF2B5EF4-FFF2-40B4-BE49-F238E27FC236}">
              <a16:creationId xmlns:a16="http://schemas.microsoft.com/office/drawing/2014/main" id="{1DCA12F8-0ED7-4F47-A8CB-50411353C5D3}"/>
            </a:ext>
          </a:extLst>
        </xdr:cNvPr>
        <xdr:cNvCxnSpPr/>
      </xdr:nvCxnSpPr>
      <xdr:spPr>
        <a:xfrm flipH="1" flipV="1">
          <a:off x="9291174" y="9876866"/>
          <a:ext cx="1420902" cy="4481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291353</xdr:colOff>
      <xdr:row>48</xdr:row>
      <xdr:rowOff>44823</xdr:rowOff>
    </xdr:from>
    <xdr:to>
      <xdr:col>11</xdr:col>
      <xdr:colOff>11206</xdr:colOff>
      <xdr:row>52</xdr:row>
      <xdr:rowOff>112059</xdr:rowOff>
    </xdr:to>
    <xdr:sp macro="" textlink="">
      <xdr:nvSpPr>
        <xdr:cNvPr id="12" name="Правая фигурная скобка 47">
          <a:extLst>
            <a:ext uri="{FF2B5EF4-FFF2-40B4-BE49-F238E27FC236}">
              <a16:creationId xmlns:a16="http://schemas.microsoft.com/office/drawing/2014/main" id="{55913C2A-4BB8-C34E-A9F8-9DE845B895D0}"/>
            </a:ext>
          </a:extLst>
        </xdr:cNvPr>
        <xdr:cNvSpPr/>
      </xdr:nvSpPr>
      <xdr:spPr>
        <a:xfrm rot="10800000">
          <a:off x="10857753" y="9430123"/>
          <a:ext cx="418353" cy="880036"/>
        </a:xfrm>
        <a:prstGeom prst="rightBrace">
          <a:avLst/>
        </a:prstGeom>
        <a:ln/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2099423</xdr:colOff>
      <xdr:row>27</xdr:row>
      <xdr:rowOff>132230</xdr:rowOff>
    </xdr:from>
    <xdr:to>
      <xdr:col>10</xdr:col>
      <xdr:colOff>123264</xdr:colOff>
      <xdr:row>34</xdr:row>
      <xdr:rowOff>67235</xdr:rowOff>
    </xdr:to>
    <xdr:cxnSp macro="">
      <xdr:nvCxnSpPr>
        <xdr:cNvPr id="13" name="Прямая со стрелкой 12">
          <a:extLst>
            <a:ext uri="{FF2B5EF4-FFF2-40B4-BE49-F238E27FC236}">
              <a16:creationId xmlns:a16="http://schemas.microsoft.com/office/drawing/2014/main" id="{CFFE84A7-370D-C844-BC6D-EEB8F30899B3}"/>
            </a:ext>
          </a:extLst>
        </xdr:cNvPr>
        <xdr:cNvCxnSpPr/>
      </xdr:nvCxnSpPr>
      <xdr:spPr>
        <a:xfrm flipH="1" flipV="1">
          <a:off x="8589123" y="5339230"/>
          <a:ext cx="2100541" cy="13447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224117</xdr:colOff>
      <xdr:row>29</xdr:row>
      <xdr:rowOff>0</xdr:rowOff>
    </xdr:from>
    <xdr:to>
      <xdr:col>10</xdr:col>
      <xdr:colOff>549088</xdr:colOff>
      <xdr:row>40</xdr:row>
      <xdr:rowOff>89647</xdr:rowOff>
    </xdr:to>
    <xdr:sp macro="" textlink="">
      <xdr:nvSpPr>
        <xdr:cNvPr id="14" name="Правая фигурная скобка 15">
          <a:extLst>
            <a:ext uri="{FF2B5EF4-FFF2-40B4-BE49-F238E27FC236}">
              <a16:creationId xmlns:a16="http://schemas.microsoft.com/office/drawing/2014/main" id="{343A0AD0-547F-A347-B3F3-ED24AB6CBD7E}"/>
            </a:ext>
          </a:extLst>
        </xdr:cNvPr>
        <xdr:cNvSpPr/>
      </xdr:nvSpPr>
      <xdr:spPr>
        <a:xfrm rot="10800000">
          <a:off x="10790517" y="5600700"/>
          <a:ext cx="324971" cy="2324847"/>
        </a:xfrm>
        <a:prstGeom prst="rightBrace">
          <a:avLst/>
        </a:prstGeom>
        <a:ln/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</xdr:col>
      <xdr:colOff>67235</xdr:colOff>
      <xdr:row>21</xdr:row>
      <xdr:rowOff>121024</xdr:rowOff>
    </xdr:from>
    <xdr:to>
      <xdr:col>10</xdr:col>
      <xdr:colOff>555814</xdr:colOff>
      <xdr:row>24</xdr:row>
      <xdr:rowOff>44823</xdr:rowOff>
    </xdr:to>
    <xdr:cxnSp macro="">
      <xdr:nvCxnSpPr>
        <xdr:cNvPr id="15" name="Прямая со стрелкой 14">
          <a:extLst>
            <a:ext uri="{FF2B5EF4-FFF2-40B4-BE49-F238E27FC236}">
              <a16:creationId xmlns:a16="http://schemas.microsoft.com/office/drawing/2014/main" id="{A0259289-59F4-B843-828F-8B773B729F21}"/>
            </a:ext>
          </a:extLst>
        </xdr:cNvPr>
        <xdr:cNvCxnSpPr/>
      </xdr:nvCxnSpPr>
      <xdr:spPr>
        <a:xfrm flipH="1">
          <a:off x="9262035" y="4146924"/>
          <a:ext cx="1860179" cy="520699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3A1E8-378F-43F2-991D-BA102148F5C3}">
  <dimension ref="A3:R41"/>
  <sheetViews>
    <sheetView tabSelected="1" workbookViewId="0">
      <selection activeCell="B21" sqref="B21"/>
    </sheetView>
  </sheetViews>
  <sheetFormatPr defaultColWidth="8.796875" defaultRowHeight="14.25" outlineLevelRow="1" x14ac:dyDescent="0.45"/>
  <cols>
    <col min="1" max="1" width="15.265625" style="352" customWidth="1"/>
    <col min="2" max="2" width="27.59765625" customWidth="1"/>
    <col min="3" max="3" width="9.796875" bestFit="1" customWidth="1"/>
    <col min="13" max="13" width="16.1328125" customWidth="1"/>
  </cols>
  <sheetData>
    <row r="3" spans="1:18" x14ac:dyDescent="0.45">
      <c r="A3" s="352">
        <v>1</v>
      </c>
      <c r="B3" t="s">
        <v>930</v>
      </c>
      <c r="C3" s="16"/>
      <c r="N3" t="s">
        <v>116</v>
      </c>
    </row>
    <row r="4" spans="1:18" hidden="1" outlineLevel="1" x14ac:dyDescent="0.45">
      <c r="B4" t="s">
        <v>110</v>
      </c>
      <c r="C4" t="s">
        <v>111</v>
      </c>
      <c r="N4" t="s">
        <v>2</v>
      </c>
      <c r="R4" t="s">
        <v>8</v>
      </c>
    </row>
    <row r="5" spans="1:18" hidden="1" outlineLevel="1" x14ac:dyDescent="0.45">
      <c r="B5" t="s">
        <v>104</v>
      </c>
      <c r="C5" t="s">
        <v>112</v>
      </c>
      <c r="N5" t="s">
        <v>3</v>
      </c>
      <c r="R5" t="s">
        <v>9</v>
      </c>
    </row>
    <row r="6" spans="1:18" hidden="1" outlineLevel="1" x14ac:dyDescent="0.45">
      <c r="B6" t="s">
        <v>105</v>
      </c>
      <c r="C6" t="s">
        <v>106</v>
      </c>
      <c r="N6" t="s">
        <v>5</v>
      </c>
    </row>
    <row r="7" spans="1:18" hidden="1" outlineLevel="1" x14ac:dyDescent="0.45">
      <c r="B7" t="s">
        <v>107</v>
      </c>
      <c r="C7" t="s">
        <v>113</v>
      </c>
      <c r="N7" t="s">
        <v>6</v>
      </c>
    </row>
    <row r="8" spans="1:18" hidden="1" outlineLevel="1" x14ac:dyDescent="0.45">
      <c r="N8" t="s">
        <v>7</v>
      </c>
    </row>
    <row r="9" spans="1:18" hidden="1" outlineLevel="1" x14ac:dyDescent="0.45">
      <c r="N9" t="s">
        <v>10</v>
      </c>
    </row>
    <row r="10" spans="1:18" hidden="1" outlineLevel="1" x14ac:dyDescent="0.45">
      <c r="B10" t="s">
        <v>108</v>
      </c>
      <c r="N10" t="s">
        <v>4</v>
      </c>
    </row>
    <row r="11" spans="1:18" hidden="1" outlineLevel="1" x14ac:dyDescent="0.45">
      <c r="B11">
        <v>1</v>
      </c>
      <c r="C11" t="s">
        <v>114</v>
      </c>
    </row>
    <row r="12" spans="1:18" hidden="1" outlineLevel="1" x14ac:dyDescent="0.45">
      <c r="B12">
        <v>2</v>
      </c>
      <c r="C12" t="s">
        <v>115</v>
      </c>
    </row>
    <row r="13" spans="1:18" hidden="1" outlineLevel="1" x14ac:dyDescent="0.45">
      <c r="B13">
        <v>3</v>
      </c>
      <c r="C13" t="s">
        <v>109</v>
      </c>
    </row>
    <row r="14" spans="1:18" collapsed="1" x14ac:dyDescent="0.45"/>
    <row r="20" spans="1:3" x14ac:dyDescent="0.45">
      <c r="A20" s="352">
        <v>2</v>
      </c>
      <c r="B20" s="47" t="s">
        <v>327</v>
      </c>
    </row>
    <row r="23" spans="1:3" x14ac:dyDescent="0.45">
      <c r="A23" s="352">
        <v>3</v>
      </c>
      <c r="B23" t="s">
        <v>931</v>
      </c>
    </row>
    <row r="24" spans="1:3" hidden="1" outlineLevel="1" x14ac:dyDescent="0.45">
      <c r="B24" t="s">
        <v>110</v>
      </c>
      <c r="C24" t="s">
        <v>329</v>
      </c>
    </row>
    <row r="25" spans="1:3" hidden="1" outlineLevel="1" x14ac:dyDescent="0.45">
      <c r="B25" t="s">
        <v>331</v>
      </c>
    </row>
    <row r="26" spans="1:3" hidden="1" outlineLevel="1" x14ac:dyDescent="0.45">
      <c r="B26" t="s">
        <v>104</v>
      </c>
      <c r="C26" t="s">
        <v>330</v>
      </c>
    </row>
    <row r="27" spans="1:3" hidden="1" outlineLevel="1" x14ac:dyDescent="0.45">
      <c r="B27" t="s">
        <v>105</v>
      </c>
      <c r="C27" t="s">
        <v>328</v>
      </c>
    </row>
    <row r="28" spans="1:3" hidden="1" outlineLevel="1" x14ac:dyDescent="0.45">
      <c r="B28" t="s">
        <v>107</v>
      </c>
      <c r="C28" t="s">
        <v>332</v>
      </c>
    </row>
    <row r="29" spans="1:3" hidden="1" outlineLevel="1" x14ac:dyDescent="0.45"/>
    <row r="30" spans="1:3" collapsed="1" x14ac:dyDescent="0.45"/>
    <row r="32" spans="1:3" x14ac:dyDescent="0.45">
      <c r="A32" s="352">
        <v>4</v>
      </c>
      <c r="B32" s="2" t="s">
        <v>929</v>
      </c>
    </row>
    <row r="33" spans="2:3" x14ac:dyDescent="0.45">
      <c r="B33" s="336" t="s">
        <v>942</v>
      </c>
      <c r="C33" t="s">
        <v>941</v>
      </c>
    </row>
    <row r="35" spans="2:3" outlineLevel="1" x14ac:dyDescent="0.45">
      <c r="B35" s="119" t="s">
        <v>476</v>
      </c>
      <c r="C35" t="s">
        <v>926</v>
      </c>
    </row>
    <row r="36" spans="2:3" outlineLevel="1" x14ac:dyDescent="0.45"/>
    <row r="37" spans="2:3" outlineLevel="1" x14ac:dyDescent="0.45">
      <c r="B37" s="19"/>
      <c r="C37" t="s">
        <v>928</v>
      </c>
    </row>
    <row r="38" spans="2:3" outlineLevel="1" x14ac:dyDescent="0.45"/>
    <row r="39" spans="2:3" ht="28.5" outlineLevel="1" x14ac:dyDescent="0.45">
      <c r="B39" s="335" t="s">
        <v>925</v>
      </c>
      <c r="C39" t="s">
        <v>927</v>
      </c>
    </row>
    <row r="40" spans="2:3" outlineLevel="1" x14ac:dyDescent="0.45"/>
    <row r="41" spans="2:3" outlineLevel="1" x14ac:dyDescent="0.45">
      <c r="B41" s="322"/>
      <c r="C41" t="s">
        <v>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5C0D5-F32E-4E3E-BE55-66B515BC26FA}">
  <sheetPr>
    <tabColor rgb="FFFFFF00"/>
  </sheetPr>
  <dimension ref="B2:Q27"/>
  <sheetViews>
    <sheetView zoomScaleNormal="100" workbookViewId="0">
      <selection activeCell="D10" sqref="D10:M11"/>
    </sheetView>
  </sheetViews>
  <sheetFormatPr defaultColWidth="8.796875" defaultRowHeight="14.25" x14ac:dyDescent="0.45"/>
  <cols>
    <col min="2" max="2" width="10" customWidth="1"/>
    <col min="3" max="3" width="38.1328125" customWidth="1"/>
    <col min="4" max="4" width="11" customWidth="1"/>
    <col min="9" max="9" width="13.33203125" customWidth="1"/>
    <col min="11" max="11" width="10.1328125" customWidth="1"/>
  </cols>
  <sheetData>
    <row r="2" spans="2:17" s="100" customFormat="1" x14ac:dyDescent="0.45">
      <c r="B2" s="101" t="s">
        <v>534</v>
      </c>
      <c r="D2" s="101" t="s">
        <v>533</v>
      </c>
      <c r="I2" s="100" t="s">
        <v>91</v>
      </c>
      <c r="J2" s="101" t="s">
        <v>511</v>
      </c>
      <c r="K2" s="101" t="s">
        <v>512</v>
      </c>
      <c r="L2" s="101" t="s">
        <v>515</v>
      </c>
      <c r="M2" s="101" t="s">
        <v>516</v>
      </c>
      <c r="N2" s="101" t="s">
        <v>517</v>
      </c>
      <c r="O2" s="101" t="s">
        <v>518</v>
      </c>
      <c r="P2" s="101" t="s">
        <v>519</v>
      </c>
      <c r="Q2" s="101" t="s">
        <v>532</v>
      </c>
    </row>
    <row r="4" spans="2:17" s="2" customFormat="1" ht="14.25" customHeight="1" x14ac:dyDescent="0.45">
      <c r="B4" s="2" t="s">
        <v>253</v>
      </c>
      <c r="C4" s="102" t="s">
        <v>241</v>
      </c>
      <c r="D4" s="2" t="s">
        <v>237</v>
      </c>
      <c r="J4" s="47" t="s">
        <v>513</v>
      </c>
      <c r="K4" s="103" t="s">
        <v>514</v>
      </c>
    </row>
    <row r="5" spans="2:17" s="2" customFormat="1" x14ac:dyDescent="0.45">
      <c r="C5" s="102"/>
      <c r="D5" s="104" t="s">
        <v>234</v>
      </c>
      <c r="J5" s="105" t="s">
        <v>513</v>
      </c>
      <c r="K5" s="106" t="s">
        <v>514</v>
      </c>
    </row>
    <row r="6" spans="2:17" s="2" customFormat="1" x14ac:dyDescent="0.45">
      <c r="C6" s="102"/>
      <c r="D6" s="104" t="s">
        <v>520</v>
      </c>
      <c r="E6" s="107"/>
      <c r="F6" s="107"/>
      <c r="K6" s="106" t="s">
        <v>535</v>
      </c>
      <c r="L6" s="105" t="s">
        <v>536</v>
      </c>
    </row>
    <row r="7" spans="2:17" s="2" customFormat="1" x14ac:dyDescent="0.45">
      <c r="C7" s="102"/>
      <c r="D7" s="108" t="s">
        <v>235</v>
      </c>
      <c r="E7" s="107"/>
      <c r="F7" s="107"/>
      <c r="L7" s="109" t="s">
        <v>513</v>
      </c>
      <c r="M7" s="110" t="s">
        <v>514</v>
      </c>
    </row>
    <row r="8" spans="2:17" s="2" customFormat="1" x14ac:dyDescent="0.45">
      <c r="C8" s="102"/>
      <c r="D8" s="108" t="s">
        <v>531</v>
      </c>
      <c r="E8" s="107"/>
      <c r="F8" s="107"/>
      <c r="L8" s="109" t="s">
        <v>513</v>
      </c>
      <c r="M8" s="110" t="s">
        <v>514</v>
      </c>
    </row>
    <row r="9" spans="2:17" s="2" customFormat="1" x14ac:dyDescent="0.45">
      <c r="D9" s="89"/>
    </row>
    <row r="10" spans="2:17" s="2" customFormat="1" ht="14.25" customHeight="1" x14ac:dyDescent="0.45">
      <c r="B10" s="2" t="s">
        <v>233</v>
      </c>
      <c r="C10" s="314" t="s">
        <v>247</v>
      </c>
      <c r="D10" s="112" t="s">
        <v>522</v>
      </c>
      <c r="K10" s="103"/>
      <c r="L10" s="47"/>
    </row>
    <row r="11" spans="2:17" s="2" customFormat="1" x14ac:dyDescent="0.45">
      <c r="C11" s="314"/>
      <c r="D11" s="112" t="s">
        <v>523</v>
      </c>
      <c r="L11" s="103"/>
      <c r="M11" s="47"/>
    </row>
    <row r="12" spans="2:17" s="2" customFormat="1" x14ac:dyDescent="0.45">
      <c r="C12" s="314"/>
      <c r="D12" s="112" t="s">
        <v>238</v>
      </c>
      <c r="M12" s="47"/>
    </row>
    <row r="13" spans="2:17" s="2" customFormat="1" x14ac:dyDescent="0.45">
      <c r="C13" s="53"/>
      <c r="D13" s="113" t="s">
        <v>526</v>
      </c>
      <c r="M13" s="110" t="s">
        <v>525</v>
      </c>
      <c r="N13" s="109" t="s">
        <v>525</v>
      </c>
      <c r="O13" s="110" t="s">
        <v>527</v>
      </c>
    </row>
    <row r="14" spans="2:17" s="2" customFormat="1" x14ac:dyDescent="0.45">
      <c r="B14" s="111"/>
      <c r="C14" s="114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</row>
    <row r="15" spans="2:17" x14ac:dyDescent="0.45">
      <c r="B15" t="s">
        <v>239</v>
      </c>
      <c r="C15" s="12" t="s">
        <v>252</v>
      </c>
      <c r="D15" s="95" t="s">
        <v>236</v>
      </c>
      <c r="L15" s="94"/>
      <c r="M15" s="96"/>
    </row>
    <row r="16" spans="2:17" s="94" customFormat="1" x14ac:dyDescent="0.45">
      <c r="C16" s="98"/>
      <c r="D16" s="95" t="s">
        <v>510</v>
      </c>
      <c r="K16" s="99" t="s">
        <v>30</v>
      </c>
      <c r="M16" s="97" t="s">
        <v>525</v>
      </c>
      <c r="N16" s="96" t="s">
        <v>525</v>
      </c>
    </row>
    <row r="17" spans="2:17" x14ac:dyDescent="0.45">
      <c r="C17" s="12"/>
      <c r="D17" t="s">
        <v>245</v>
      </c>
      <c r="N17" s="48"/>
      <c r="O17" s="48"/>
    </row>
    <row r="18" spans="2:17" x14ac:dyDescent="0.45">
      <c r="C18" s="12"/>
      <c r="D18" s="23" t="s">
        <v>524</v>
      </c>
      <c r="N18" s="48" t="s">
        <v>30</v>
      </c>
    </row>
    <row r="19" spans="2:17" x14ac:dyDescent="0.45">
      <c r="C19" s="12"/>
      <c r="D19" s="94" t="s">
        <v>249</v>
      </c>
      <c r="N19" s="97" t="s">
        <v>525</v>
      </c>
      <c r="O19" s="96" t="s">
        <v>527</v>
      </c>
    </row>
    <row r="20" spans="2:17" x14ac:dyDescent="0.45">
      <c r="C20" s="7"/>
    </row>
    <row r="21" spans="2:17" x14ac:dyDescent="0.45">
      <c r="B21" t="s">
        <v>242</v>
      </c>
      <c r="C21" s="313" t="s">
        <v>244</v>
      </c>
      <c r="D21" t="s">
        <v>246</v>
      </c>
      <c r="M21" s="19" t="s">
        <v>30</v>
      </c>
      <c r="N21" s="97" t="s">
        <v>525</v>
      </c>
    </row>
    <row r="22" spans="2:17" x14ac:dyDescent="0.45">
      <c r="C22" s="313"/>
      <c r="D22" t="s">
        <v>243</v>
      </c>
      <c r="N22" s="19" t="s">
        <v>30</v>
      </c>
      <c r="O22" s="96" t="s">
        <v>525</v>
      </c>
      <c r="P22" s="96" t="s">
        <v>527</v>
      </c>
    </row>
    <row r="23" spans="2:17" x14ac:dyDescent="0.45">
      <c r="C23" s="313"/>
      <c r="D23" t="s">
        <v>250</v>
      </c>
      <c r="O23" s="97" t="s">
        <v>525</v>
      </c>
      <c r="P23" s="97" t="s">
        <v>527</v>
      </c>
    </row>
    <row r="25" spans="2:17" x14ac:dyDescent="0.45">
      <c r="B25" t="s">
        <v>251</v>
      </c>
      <c r="C25" t="s">
        <v>528</v>
      </c>
      <c r="D25" t="s">
        <v>521</v>
      </c>
      <c r="O25" s="48" t="s">
        <v>30</v>
      </c>
      <c r="P25" s="48" t="s">
        <v>30</v>
      </c>
    </row>
    <row r="26" spans="2:17" s="94" customFormat="1" x14ac:dyDescent="0.45">
      <c r="B26" s="94" t="s">
        <v>530</v>
      </c>
      <c r="D26" s="94" t="s">
        <v>248</v>
      </c>
      <c r="O26" s="97" t="s">
        <v>525</v>
      </c>
      <c r="P26" s="96" t="s">
        <v>525</v>
      </c>
      <c r="Q26" s="96" t="s">
        <v>527</v>
      </c>
    </row>
    <row r="27" spans="2:17" x14ac:dyDescent="0.45">
      <c r="D27" t="s">
        <v>529</v>
      </c>
    </row>
  </sheetData>
  <mergeCells count="2">
    <mergeCell ref="C21:C23"/>
    <mergeCell ref="C10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BF53C-E831-4223-9475-C6FBED1FDD8B}">
  <sheetPr>
    <tabColor rgb="FF7030A0"/>
  </sheetPr>
  <dimension ref="B1:V48"/>
  <sheetViews>
    <sheetView showGridLines="0" topLeftCell="A5" zoomScale="80" zoomScaleNormal="80" workbookViewId="0">
      <selection activeCell="E6" sqref="E6"/>
    </sheetView>
  </sheetViews>
  <sheetFormatPr defaultColWidth="8.796875" defaultRowHeight="14.25" x14ac:dyDescent="0.45"/>
  <cols>
    <col min="1" max="1" width="9"/>
    <col min="2" max="2" width="4.59765625" customWidth="1"/>
    <col min="3" max="3" width="28.53125" customWidth="1"/>
    <col min="4" max="4" width="5.1328125" customWidth="1"/>
    <col min="5" max="5" width="16.73046875" customWidth="1"/>
    <col min="7" max="7" width="28.46484375" customWidth="1"/>
    <col min="8" max="8" width="31" customWidth="1"/>
    <col min="9" max="9" width="34.6640625" customWidth="1"/>
    <col min="10" max="10" width="7" customWidth="1"/>
    <col min="11" max="11" width="4.46484375" customWidth="1"/>
    <col min="12" max="12" width="21.33203125" customWidth="1"/>
    <col min="13" max="13" width="2.06640625" customWidth="1"/>
    <col min="14" max="14" width="2.796875" customWidth="1"/>
  </cols>
  <sheetData>
    <row r="1" spans="2:14" ht="14.65" thickBot="1" x14ac:dyDescent="0.5"/>
    <row r="2" spans="2:14" ht="15.75" x14ac:dyDescent="0.5">
      <c r="B2" s="144"/>
      <c r="C2" s="145" t="s">
        <v>320</v>
      </c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7"/>
    </row>
    <row r="3" spans="2:14" x14ac:dyDescent="0.45">
      <c r="B3" s="122"/>
      <c r="N3" s="123"/>
    </row>
    <row r="4" spans="2:14" ht="28.5" x14ac:dyDescent="0.45">
      <c r="B4" s="122"/>
      <c r="G4" s="150" t="s">
        <v>318</v>
      </c>
      <c r="I4" s="150" t="s">
        <v>319</v>
      </c>
      <c r="L4" s="41" t="s">
        <v>325</v>
      </c>
      <c r="N4" s="123"/>
    </row>
    <row r="5" spans="2:14" x14ac:dyDescent="0.45">
      <c r="B5" s="122"/>
      <c r="N5" s="123"/>
    </row>
    <row r="6" spans="2:14" x14ac:dyDescent="0.45">
      <c r="B6" s="122"/>
      <c r="N6" s="123"/>
    </row>
    <row r="7" spans="2:14" x14ac:dyDescent="0.45">
      <c r="B7" s="122"/>
      <c r="N7" s="123"/>
    </row>
    <row r="8" spans="2:14" ht="28.5" x14ac:dyDescent="0.45">
      <c r="B8" s="122"/>
      <c r="G8" s="151" t="s">
        <v>314</v>
      </c>
      <c r="H8" s="151" t="s">
        <v>316</v>
      </c>
      <c r="I8" s="151" t="s">
        <v>315</v>
      </c>
      <c r="L8" s="41" t="s">
        <v>240</v>
      </c>
      <c r="N8" s="123"/>
    </row>
    <row r="9" spans="2:14" x14ac:dyDescent="0.45">
      <c r="B9" s="122"/>
      <c r="G9" s="2"/>
      <c r="H9" s="2"/>
      <c r="I9" s="2"/>
      <c r="N9" s="123"/>
    </row>
    <row r="10" spans="2:14" x14ac:dyDescent="0.45">
      <c r="B10" s="122"/>
      <c r="C10" s="39" t="s">
        <v>317</v>
      </c>
      <c r="G10" s="2"/>
      <c r="H10" s="2"/>
      <c r="I10" s="2"/>
      <c r="N10" s="123"/>
    </row>
    <row r="11" spans="2:14" ht="63" x14ac:dyDescent="0.45">
      <c r="B11" s="122"/>
      <c r="G11" s="149" t="s">
        <v>322</v>
      </c>
      <c r="H11" s="2"/>
      <c r="I11" s="143" t="s">
        <v>339</v>
      </c>
      <c r="N11" s="123"/>
    </row>
    <row r="12" spans="2:14" x14ac:dyDescent="0.45">
      <c r="B12" s="122"/>
      <c r="G12" s="2"/>
      <c r="H12" s="2"/>
      <c r="I12" s="2"/>
      <c r="N12" s="123"/>
    </row>
    <row r="13" spans="2:14" ht="44" customHeight="1" x14ac:dyDescent="0.45">
      <c r="B13" s="122"/>
      <c r="E13" s="149" t="s">
        <v>548</v>
      </c>
      <c r="G13" s="2"/>
      <c r="H13" s="148" t="s">
        <v>321</v>
      </c>
      <c r="I13" s="2"/>
      <c r="N13" s="123"/>
    </row>
    <row r="14" spans="2:14" x14ac:dyDescent="0.45">
      <c r="B14" s="122"/>
      <c r="N14" s="123"/>
    </row>
    <row r="15" spans="2:14" x14ac:dyDescent="0.45">
      <c r="B15" s="122"/>
      <c r="C15" s="39" t="s">
        <v>326</v>
      </c>
      <c r="N15" s="123"/>
    </row>
    <row r="16" spans="2:14" ht="47.25" x14ac:dyDescent="0.45">
      <c r="B16" s="122"/>
      <c r="H16" s="150" t="s">
        <v>324</v>
      </c>
      <c r="N16" s="123"/>
    </row>
    <row r="17" spans="2:14" x14ac:dyDescent="0.45">
      <c r="B17" s="122"/>
      <c r="N17" s="123"/>
    </row>
    <row r="18" spans="2:14" ht="42.75" x14ac:dyDescent="0.45">
      <c r="B18" s="122"/>
      <c r="G18" s="149" t="s">
        <v>340</v>
      </c>
      <c r="I18" s="143" t="s">
        <v>323</v>
      </c>
      <c r="N18" s="123"/>
    </row>
    <row r="19" spans="2:14" ht="24" customHeight="1" thickBot="1" x14ac:dyDescent="0.5">
      <c r="B19" s="125"/>
      <c r="C19" s="126"/>
      <c r="D19" s="126"/>
      <c r="E19" s="126"/>
      <c r="F19" s="126"/>
      <c r="G19" s="127"/>
      <c r="H19" s="126"/>
      <c r="I19" s="127"/>
      <c r="J19" s="126"/>
      <c r="K19" s="126"/>
      <c r="L19" s="126"/>
      <c r="M19" s="126"/>
      <c r="N19" s="128"/>
    </row>
    <row r="20" spans="2:14" ht="14.65" thickBot="1" x14ac:dyDescent="0.5"/>
    <row r="21" spans="2:14" ht="22.05" customHeight="1" x14ac:dyDescent="0.5">
      <c r="B21" s="144"/>
      <c r="C21" s="145" t="s">
        <v>549</v>
      </c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7"/>
    </row>
    <row r="22" spans="2:14" ht="28.5" x14ac:dyDescent="0.45">
      <c r="B22" s="122"/>
      <c r="G22" s="44" t="s">
        <v>318</v>
      </c>
      <c r="I22" s="43" t="s">
        <v>319</v>
      </c>
      <c r="L22" s="41" t="s">
        <v>325</v>
      </c>
      <c r="N22" s="123"/>
    </row>
    <row r="23" spans="2:14" x14ac:dyDescent="0.45">
      <c r="B23" s="122"/>
      <c r="N23" s="123"/>
    </row>
    <row r="24" spans="2:14" x14ac:dyDescent="0.45">
      <c r="B24" s="122"/>
      <c r="N24" s="123"/>
    </row>
    <row r="25" spans="2:14" x14ac:dyDescent="0.45">
      <c r="B25" s="122"/>
      <c r="N25" s="123"/>
    </row>
    <row r="26" spans="2:14" ht="28.5" x14ac:dyDescent="0.45">
      <c r="B26" s="122"/>
      <c r="G26" s="42" t="s">
        <v>314</v>
      </c>
      <c r="H26" s="124" t="s">
        <v>316</v>
      </c>
      <c r="I26" s="42" t="s">
        <v>315</v>
      </c>
      <c r="L26" s="41" t="s">
        <v>240</v>
      </c>
      <c r="N26" s="123"/>
    </row>
    <row r="27" spans="2:14" x14ac:dyDescent="0.45">
      <c r="B27" s="122"/>
      <c r="G27" s="2"/>
      <c r="H27" s="2"/>
      <c r="I27" s="2"/>
      <c r="N27" s="123"/>
    </row>
    <row r="28" spans="2:14" x14ac:dyDescent="0.45">
      <c r="B28" s="122"/>
      <c r="C28" s="39" t="s">
        <v>317</v>
      </c>
      <c r="G28" s="2"/>
      <c r="H28" s="2"/>
      <c r="I28" s="2"/>
      <c r="N28" s="123"/>
    </row>
    <row r="29" spans="2:14" ht="33.75" customHeight="1" x14ac:dyDescent="0.45">
      <c r="B29" s="122"/>
      <c r="G29" s="46" t="s">
        <v>322</v>
      </c>
      <c r="H29" s="2"/>
      <c r="I29" s="46" t="s">
        <v>339</v>
      </c>
      <c r="N29" s="123"/>
    </row>
    <row r="30" spans="2:14" x14ac:dyDescent="0.45">
      <c r="B30" s="122"/>
      <c r="G30" s="2"/>
      <c r="H30" s="2"/>
      <c r="I30" s="2"/>
      <c r="N30" s="123"/>
    </row>
    <row r="31" spans="2:14" ht="28.5" x14ac:dyDescent="0.45">
      <c r="B31" s="122"/>
      <c r="E31" s="121" t="s">
        <v>548</v>
      </c>
      <c r="G31" s="2"/>
      <c r="H31" s="40" t="s">
        <v>321</v>
      </c>
      <c r="I31" s="2"/>
      <c r="N31" s="123"/>
    </row>
    <row r="32" spans="2:14" x14ac:dyDescent="0.45">
      <c r="B32" s="122"/>
      <c r="N32" s="123"/>
    </row>
    <row r="33" spans="2:22" x14ac:dyDescent="0.45">
      <c r="B33" s="122"/>
      <c r="C33" s="39" t="s">
        <v>326</v>
      </c>
      <c r="N33" s="123"/>
    </row>
    <row r="34" spans="2:22" ht="42.75" x14ac:dyDescent="0.45">
      <c r="B34" s="122"/>
      <c r="H34" s="45" t="s">
        <v>324</v>
      </c>
      <c r="N34" s="123"/>
    </row>
    <row r="35" spans="2:22" ht="42.75" x14ac:dyDescent="0.45">
      <c r="B35" s="122"/>
      <c r="G35" s="41" t="s">
        <v>340</v>
      </c>
      <c r="I35" s="41" t="s">
        <v>323</v>
      </c>
      <c r="N35" s="123"/>
    </row>
    <row r="36" spans="2:22" x14ac:dyDescent="0.45">
      <c r="B36" s="122"/>
      <c r="N36" s="123"/>
    </row>
    <row r="37" spans="2:22" ht="14.65" thickBot="1" x14ac:dyDescent="0.5">
      <c r="B37" s="125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8"/>
    </row>
    <row r="40" spans="2:22" x14ac:dyDescent="0.45">
      <c r="C40" s="2" t="s">
        <v>550</v>
      </c>
    </row>
    <row r="43" spans="2:22" x14ac:dyDescent="0.45">
      <c r="C43" t="s">
        <v>357</v>
      </c>
    </row>
    <row r="44" spans="2:22" ht="144.4" x14ac:dyDescent="0.45">
      <c r="C44" s="50" t="s">
        <v>126</v>
      </c>
      <c r="D44" s="50" t="s">
        <v>341</v>
      </c>
      <c r="E44" s="50" t="s">
        <v>342</v>
      </c>
      <c r="F44" s="51" t="s">
        <v>255</v>
      </c>
      <c r="G44" s="49" t="s">
        <v>342</v>
      </c>
      <c r="H44" s="49" t="s">
        <v>254</v>
      </c>
      <c r="I44" s="49" t="s">
        <v>343</v>
      </c>
      <c r="J44" s="49" t="s">
        <v>344</v>
      </c>
      <c r="K44" s="49" t="s">
        <v>345</v>
      </c>
      <c r="L44" s="49" t="s">
        <v>346</v>
      </c>
      <c r="M44" s="49" t="s">
        <v>347</v>
      </c>
      <c r="N44" s="49" t="s">
        <v>348</v>
      </c>
      <c r="O44" s="49" t="s">
        <v>349</v>
      </c>
      <c r="P44" s="49" t="s">
        <v>350</v>
      </c>
      <c r="Q44" s="49" t="s">
        <v>351</v>
      </c>
      <c r="R44" s="49" t="s">
        <v>352</v>
      </c>
      <c r="S44" s="49" t="s">
        <v>353</v>
      </c>
      <c r="T44" s="49" t="s">
        <v>354</v>
      </c>
      <c r="U44" s="49" t="s">
        <v>355</v>
      </c>
      <c r="V44" s="49" t="s">
        <v>356</v>
      </c>
    </row>
    <row r="48" spans="2:22" x14ac:dyDescent="0.45">
      <c r="C48" t="s">
        <v>360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18F80-2D04-43EC-AA78-72A8513501EA}">
  <sheetPr>
    <tabColor rgb="FF7030A0"/>
  </sheetPr>
  <dimension ref="A1:I54"/>
  <sheetViews>
    <sheetView topLeftCell="A22" zoomScaleNormal="100" workbookViewId="0">
      <selection activeCell="K32" sqref="K32"/>
    </sheetView>
  </sheetViews>
  <sheetFormatPr defaultColWidth="9" defaultRowHeight="14.25" x14ac:dyDescent="0.45"/>
  <cols>
    <col min="1" max="1" width="5.796875" style="6" customWidth="1"/>
    <col min="2" max="2" width="9" style="234"/>
    <col min="3" max="3" width="18" style="14" customWidth="1"/>
    <col min="4" max="4" width="13" style="6" customWidth="1"/>
    <col min="5" max="6" width="9" style="6"/>
    <col min="7" max="7" width="76.1328125" style="7" customWidth="1"/>
    <col min="8" max="16384" width="9" style="6"/>
  </cols>
  <sheetData>
    <row r="1" spans="1:9" x14ac:dyDescent="0.45">
      <c r="A1" s="218"/>
      <c r="B1" s="233"/>
      <c r="C1" s="217"/>
      <c r="D1" s="218"/>
      <c r="E1" s="218"/>
      <c r="F1" s="218"/>
      <c r="G1" s="219"/>
      <c r="H1" s="218"/>
      <c r="I1" s="218"/>
    </row>
    <row r="2" spans="1:9" x14ac:dyDescent="0.45">
      <c r="A2" s="218"/>
      <c r="B2" s="220" t="s">
        <v>79</v>
      </c>
      <c r="C2" s="221"/>
      <c r="D2" s="222"/>
      <c r="E2" s="222"/>
      <c r="F2" s="222"/>
      <c r="G2" s="223"/>
      <c r="H2" s="218"/>
    </row>
    <row r="3" spans="1:9" x14ac:dyDescent="0.45">
      <c r="A3" s="218"/>
      <c r="B3" s="230"/>
      <c r="C3" s="217"/>
      <c r="D3" s="218"/>
      <c r="E3" s="218"/>
      <c r="F3" s="218"/>
      <c r="G3" s="224"/>
      <c r="H3" s="218"/>
    </row>
    <row r="4" spans="1:9" x14ac:dyDescent="0.45">
      <c r="A4" s="218"/>
      <c r="B4" s="230">
        <v>1</v>
      </c>
      <c r="C4" s="217" t="s">
        <v>77</v>
      </c>
      <c r="D4" s="218"/>
      <c r="E4" s="218"/>
      <c r="F4" s="218"/>
      <c r="G4" s="224" t="s">
        <v>82</v>
      </c>
      <c r="H4" s="218"/>
    </row>
    <row r="5" spans="1:9" x14ac:dyDescent="0.45">
      <c r="A5" s="218"/>
      <c r="B5" s="230"/>
      <c r="C5" s="217" t="s">
        <v>119</v>
      </c>
      <c r="D5" s="218"/>
      <c r="E5" s="218"/>
      <c r="F5" s="218"/>
      <c r="G5" s="224" t="s">
        <v>120</v>
      </c>
      <c r="H5" s="218"/>
    </row>
    <row r="6" spans="1:9" x14ac:dyDescent="0.45">
      <c r="A6" s="218"/>
      <c r="B6" s="230"/>
      <c r="C6" s="217"/>
      <c r="D6" s="218"/>
      <c r="E6" s="218"/>
      <c r="F6" s="218"/>
      <c r="G6" s="224"/>
      <c r="H6" s="218"/>
    </row>
    <row r="7" spans="1:9" x14ac:dyDescent="0.45">
      <c r="A7" s="218"/>
      <c r="B7" s="230">
        <v>2</v>
      </c>
      <c r="C7" s="217" t="s">
        <v>83</v>
      </c>
      <c r="D7" s="218"/>
      <c r="E7" s="218"/>
      <c r="F7" s="218"/>
      <c r="G7" s="224" t="s">
        <v>84</v>
      </c>
      <c r="H7" s="218" t="s">
        <v>163</v>
      </c>
    </row>
    <row r="8" spans="1:9" ht="28.5" x14ac:dyDescent="0.45">
      <c r="A8" s="218"/>
      <c r="B8" s="230">
        <v>3</v>
      </c>
      <c r="C8" s="217" t="s">
        <v>699</v>
      </c>
      <c r="D8" s="217" t="s">
        <v>99</v>
      </c>
      <c r="E8" s="217"/>
      <c r="F8" s="218"/>
      <c r="G8" s="224" t="s">
        <v>85</v>
      </c>
      <c r="H8" s="218"/>
    </row>
    <row r="9" spans="1:9" x14ac:dyDescent="0.45">
      <c r="A9" s="218"/>
      <c r="B9" s="230"/>
      <c r="C9" s="217"/>
      <c r="D9" s="218">
        <v>1</v>
      </c>
      <c r="E9" s="218" t="s">
        <v>0</v>
      </c>
      <c r="F9" s="218"/>
      <c r="G9" s="224"/>
      <c r="H9" s="218"/>
    </row>
    <row r="10" spans="1:9" x14ac:dyDescent="0.45">
      <c r="A10" s="218"/>
      <c r="B10" s="230"/>
      <c r="C10" s="217"/>
      <c r="D10" s="218">
        <v>2</v>
      </c>
      <c r="E10" s="218" t="s">
        <v>17</v>
      </c>
      <c r="F10" s="218"/>
      <c r="G10" s="224"/>
      <c r="H10" s="218"/>
    </row>
    <row r="11" spans="1:9" x14ac:dyDescent="0.45">
      <c r="A11" s="218"/>
      <c r="B11" s="230"/>
      <c r="C11" s="217"/>
      <c r="D11" s="218">
        <v>3</v>
      </c>
      <c r="E11" s="218" t="s">
        <v>21</v>
      </c>
      <c r="F11" s="218"/>
      <c r="G11" s="224"/>
      <c r="H11" s="218"/>
    </row>
    <row r="12" spans="1:9" x14ac:dyDescent="0.45">
      <c r="A12" s="218"/>
      <c r="B12" s="230"/>
      <c r="C12" s="217"/>
      <c r="D12" s="218">
        <v>4</v>
      </c>
      <c r="E12" s="217" t="s">
        <v>92</v>
      </c>
      <c r="F12" s="218"/>
      <c r="G12" s="224"/>
      <c r="H12" s="218"/>
    </row>
    <row r="13" spans="1:9" x14ac:dyDescent="0.45">
      <c r="A13" s="218"/>
      <c r="B13" s="230"/>
      <c r="C13" s="217"/>
      <c r="D13" s="218"/>
      <c r="E13" s="217"/>
      <c r="F13" s="218"/>
      <c r="G13" s="224"/>
      <c r="H13" s="218"/>
    </row>
    <row r="14" spans="1:9" x14ac:dyDescent="0.45">
      <c r="A14" s="218"/>
      <c r="B14" s="230"/>
      <c r="C14" s="217"/>
      <c r="D14" s="218">
        <v>99</v>
      </c>
      <c r="E14" s="225" t="s">
        <v>98</v>
      </c>
      <c r="F14" s="218"/>
      <c r="G14" s="224" t="s">
        <v>100</v>
      </c>
      <c r="H14" s="218"/>
    </row>
    <row r="15" spans="1:9" s="14" customFormat="1" ht="28.5" x14ac:dyDescent="0.45">
      <c r="A15" s="217"/>
      <c r="B15" s="231">
        <v>4</v>
      </c>
      <c r="C15" s="217" t="s">
        <v>81</v>
      </c>
      <c r="D15" s="217"/>
      <c r="E15" s="217"/>
      <c r="F15" s="217"/>
      <c r="G15" s="226" t="s">
        <v>118</v>
      </c>
      <c r="H15" s="217"/>
    </row>
    <row r="16" spans="1:9" ht="16.25" customHeight="1" x14ac:dyDescent="0.45">
      <c r="A16" s="218"/>
      <c r="B16" s="230">
        <v>5</v>
      </c>
      <c r="C16" s="217" t="s">
        <v>711</v>
      </c>
      <c r="D16" s="218"/>
      <c r="E16" s="218"/>
      <c r="F16" s="218"/>
      <c r="G16" s="224"/>
      <c r="H16" s="218"/>
    </row>
    <row r="17" spans="1:8" x14ac:dyDescent="0.45">
      <c r="A17" s="218"/>
      <c r="B17" s="230"/>
      <c r="C17" s="217"/>
      <c r="D17" s="218"/>
      <c r="E17" s="218"/>
      <c r="F17" s="218"/>
      <c r="G17" s="224"/>
      <c r="H17" s="218"/>
    </row>
    <row r="18" spans="1:8" x14ac:dyDescent="0.45">
      <c r="A18" s="218"/>
      <c r="B18" s="230">
        <v>6</v>
      </c>
      <c r="C18" s="217" t="s">
        <v>80</v>
      </c>
      <c r="D18" s="218"/>
      <c r="E18" s="218"/>
      <c r="F18" s="218"/>
      <c r="G18" s="224"/>
      <c r="H18" s="218"/>
    </row>
    <row r="19" spans="1:8" x14ac:dyDescent="0.45">
      <c r="A19" s="218"/>
      <c r="B19" s="230"/>
      <c r="C19" s="217"/>
      <c r="D19" s="218"/>
      <c r="E19" s="218"/>
      <c r="F19" s="218"/>
      <c r="G19" s="224"/>
      <c r="H19" s="218"/>
    </row>
    <row r="20" spans="1:8" x14ac:dyDescent="0.45">
      <c r="A20" s="218"/>
      <c r="B20" s="230">
        <v>7</v>
      </c>
      <c r="C20" s="217" t="s">
        <v>117</v>
      </c>
      <c r="D20" s="218"/>
      <c r="E20" s="218"/>
      <c r="F20" s="218"/>
      <c r="G20" s="224"/>
      <c r="H20" s="218"/>
    </row>
    <row r="21" spans="1:8" x14ac:dyDescent="0.45">
      <c r="A21" s="218"/>
      <c r="B21" s="232"/>
      <c r="C21" s="227"/>
      <c r="D21" s="228"/>
      <c r="E21" s="228"/>
      <c r="F21" s="228"/>
      <c r="G21" s="229"/>
      <c r="H21" s="218"/>
    </row>
    <row r="22" spans="1:8" x14ac:dyDescent="0.45">
      <c r="A22" s="218"/>
      <c r="B22" s="233"/>
      <c r="C22" s="217"/>
      <c r="D22" s="218"/>
      <c r="E22" s="218"/>
      <c r="F22" s="218"/>
      <c r="G22" s="219"/>
      <c r="H22" s="218"/>
    </row>
    <row r="23" spans="1:8" x14ac:dyDescent="0.45">
      <c r="A23" s="218"/>
      <c r="B23" s="233"/>
      <c r="C23" s="217"/>
      <c r="D23" s="218"/>
      <c r="E23" s="218"/>
      <c r="F23" s="218"/>
      <c r="G23" s="219"/>
      <c r="H23" s="218"/>
    </row>
    <row r="24" spans="1:8" x14ac:dyDescent="0.45">
      <c r="A24" s="218"/>
    </row>
    <row r="25" spans="1:8" x14ac:dyDescent="0.45">
      <c r="A25" s="218"/>
      <c r="B25" s="235"/>
      <c r="C25" s="221"/>
      <c r="D25" s="222"/>
      <c r="E25" s="222"/>
      <c r="F25" s="222"/>
      <c r="G25" s="236"/>
      <c r="H25" s="237"/>
    </row>
    <row r="26" spans="1:8" x14ac:dyDescent="0.45">
      <c r="A26" s="218"/>
      <c r="B26" s="238" t="s">
        <v>713</v>
      </c>
      <c r="C26" s="217"/>
      <c r="D26" s="218"/>
      <c r="E26" s="218"/>
      <c r="F26" s="218"/>
      <c r="G26" s="219"/>
      <c r="H26" s="239"/>
    </row>
    <row r="27" spans="1:8" x14ac:dyDescent="0.45">
      <c r="A27" s="218"/>
      <c r="B27" s="230"/>
      <c r="C27" s="217"/>
      <c r="D27" s="218"/>
      <c r="E27" s="218"/>
      <c r="F27" s="218"/>
      <c r="G27" s="219"/>
      <c r="H27" s="239"/>
    </row>
    <row r="28" spans="1:8" x14ac:dyDescent="0.45">
      <c r="A28" s="218"/>
      <c r="B28" s="230"/>
      <c r="C28" s="246" t="s">
        <v>697</v>
      </c>
      <c r="D28" s="218"/>
      <c r="E28" s="217" t="s">
        <v>119</v>
      </c>
      <c r="F28" s="218"/>
      <c r="G28" s="218"/>
      <c r="H28" s="239"/>
    </row>
    <row r="29" spans="1:8" x14ac:dyDescent="0.45">
      <c r="A29" s="218"/>
      <c r="B29" s="230"/>
      <c r="C29" s="217"/>
      <c r="D29" s="218"/>
      <c r="E29" s="218"/>
      <c r="F29" s="218"/>
      <c r="G29" s="218"/>
      <c r="H29" s="239"/>
    </row>
    <row r="30" spans="1:8" x14ac:dyDescent="0.45">
      <c r="A30" s="218"/>
      <c r="B30" s="230"/>
      <c r="C30" s="217"/>
      <c r="D30" s="218"/>
      <c r="E30" s="217" t="s">
        <v>77</v>
      </c>
      <c r="F30" s="218"/>
      <c r="G30" s="217" t="s">
        <v>81</v>
      </c>
      <c r="H30" s="239"/>
    </row>
    <row r="31" spans="1:8" x14ac:dyDescent="0.45">
      <c r="A31" s="218"/>
      <c r="B31" s="230"/>
      <c r="C31" s="217"/>
      <c r="D31" s="218"/>
      <c r="E31" s="218"/>
      <c r="F31" s="218"/>
      <c r="G31" s="218"/>
      <c r="H31" s="239"/>
    </row>
    <row r="32" spans="1:8" x14ac:dyDescent="0.45">
      <c r="A32" s="218"/>
      <c r="B32" s="230"/>
      <c r="C32" s="217"/>
      <c r="D32" s="218"/>
      <c r="E32" s="218"/>
      <c r="F32" s="218"/>
      <c r="G32" s="246" t="s">
        <v>694</v>
      </c>
      <c r="H32" s="239"/>
    </row>
    <row r="33" spans="1:8" x14ac:dyDescent="0.45">
      <c r="A33" s="218"/>
      <c r="B33" s="230"/>
      <c r="C33" s="217"/>
      <c r="D33" s="218"/>
      <c r="E33" s="218"/>
      <c r="F33" s="218"/>
      <c r="G33" s="218"/>
      <c r="H33" s="239"/>
    </row>
    <row r="34" spans="1:8" x14ac:dyDescent="0.45">
      <c r="A34" s="218"/>
      <c r="B34" s="230"/>
      <c r="C34" s="217"/>
      <c r="D34" s="218"/>
      <c r="E34" s="218"/>
      <c r="F34" s="218"/>
      <c r="G34" s="219" t="s">
        <v>710</v>
      </c>
      <c r="H34" s="239"/>
    </row>
    <row r="35" spans="1:8" x14ac:dyDescent="0.45">
      <c r="A35" s="218"/>
      <c r="B35" s="230"/>
      <c r="C35" s="217"/>
      <c r="D35" s="218"/>
      <c r="E35" s="218"/>
      <c r="F35" s="218"/>
      <c r="G35" s="245" t="s">
        <v>695</v>
      </c>
      <c r="H35" s="239"/>
    </row>
    <row r="36" spans="1:8" x14ac:dyDescent="0.45">
      <c r="A36" s="218"/>
      <c r="B36" s="230"/>
      <c r="C36" s="217"/>
      <c r="D36" s="218"/>
      <c r="E36" s="218"/>
      <c r="F36" s="218"/>
      <c r="G36" s="245" t="s">
        <v>708</v>
      </c>
      <c r="H36" s="239"/>
    </row>
    <row r="37" spans="1:8" x14ac:dyDescent="0.45">
      <c r="A37" s="218"/>
      <c r="B37" s="230"/>
      <c r="C37" s="217"/>
      <c r="D37" s="218"/>
      <c r="E37" s="218"/>
      <c r="F37" s="218"/>
      <c r="G37" s="245" t="s">
        <v>696</v>
      </c>
      <c r="H37" s="239"/>
    </row>
    <row r="38" spans="1:8" x14ac:dyDescent="0.45">
      <c r="A38" s="218"/>
      <c r="B38" s="230"/>
      <c r="C38" s="217"/>
      <c r="D38" s="218"/>
      <c r="E38" s="218"/>
      <c r="F38" s="218"/>
      <c r="G38" s="245" t="s">
        <v>161</v>
      </c>
      <c r="H38" s="239"/>
    </row>
    <row r="39" spans="1:8" x14ac:dyDescent="0.45">
      <c r="A39" s="218"/>
      <c r="B39" s="230"/>
      <c r="C39" s="217"/>
      <c r="D39" s="218"/>
      <c r="E39" s="218" t="s">
        <v>698</v>
      </c>
      <c r="F39" s="218"/>
      <c r="G39" s="218"/>
      <c r="H39" s="239"/>
    </row>
    <row r="40" spans="1:8" x14ac:dyDescent="0.45">
      <c r="A40" s="218"/>
      <c r="B40" s="230"/>
      <c r="C40" s="217"/>
      <c r="D40" s="218"/>
      <c r="E40" s="218"/>
      <c r="F40" s="218"/>
      <c r="G40" s="218"/>
      <c r="H40" s="239"/>
    </row>
    <row r="41" spans="1:8" x14ac:dyDescent="0.45">
      <c r="A41" s="218"/>
      <c r="B41" s="230"/>
      <c r="C41" s="217"/>
      <c r="D41" s="218"/>
      <c r="E41" s="218" t="s">
        <v>709</v>
      </c>
      <c r="F41" s="218"/>
      <c r="G41" s="218"/>
      <c r="H41" s="239"/>
    </row>
    <row r="42" spans="1:8" x14ac:dyDescent="0.45">
      <c r="A42" s="218"/>
      <c r="B42" s="230"/>
      <c r="C42" s="217"/>
      <c r="D42" s="218"/>
      <c r="E42" s="218"/>
      <c r="F42" s="218"/>
      <c r="G42" s="219"/>
      <c r="H42" s="239"/>
    </row>
    <row r="43" spans="1:8" x14ac:dyDescent="0.45">
      <c r="A43" s="218"/>
      <c r="B43" s="230"/>
      <c r="C43" s="217"/>
      <c r="D43" s="218"/>
      <c r="E43" s="218"/>
      <c r="F43" s="218"/>
      <c r="G43" s="218"/>
      <c r="H43" s="239"/>
    </row>
    <row r="44" spans="1:8" x14ac:dyDescent="0.45">
      <c r="A44" s="218"/>
      <c r="B44" s="230"/>
      <c r="C44" s="217"/>
      <c r="D44" s="218"/>
      <c r="E44" s="218" t="s">
        <v>117</v>
      </c>
      <c r="F44" s="218"/>
      <c r="G44" s="218"/>
      <c r="H44" s="239"/>
    </row>
    <row r="45" spans="1:8" x14ac:dyDescent="0.45">
      <c r="A45" s="218"/>
      <c r="B45" s="230"/>
      <c r="C45" s="217"/>
      <c r="D45" s="218"/>
      <c r="E45" s="218"/>
      <c r="F45" s="218"/>
      <c r="G45" s="218"/>
      <c r="H45" s="224"/>
    </row>
    <row r="46" spans="1:8" x14ac:dyDescent="0.45">
      <c r="A46" s="218"/>
      <c r="B46" s="230"/>
      <c r="C46" s="217"/>
      <c r="D46" s="218"/>
      <c r="E46" s="218"/>
      <c r="F46" s="218"/>
      <c r="G46" s="219"/>
      <c r="H46" s="239"/>
    </row>
    <row r="47" spans="1:8" x14ac:dyDescent="0.45">
      <c r="B47" s="240"/>
      <c r="C47" s="241"/>
      <c r="D47" s="242"/>
      <c r="E47" s="242"/>
      <c r="F47" s="242"/>
      <c r="G47" s="243"/>
      <c r="H47" s="244"/>
    </row>
    <row r="49" spans="3:3" x14ac:dyDescent="0.45">
      <c r="C49" s="14" t="s">
        <v>712</v>
      </c>
    </row>
    <row r="50" spans="3:3" x14ac:dyDescent="0.45">
      <c r="C50" s="15" t="s">
        <v>715</v>
      </c>
    </row>
    <row r="51" spans="3:3" x14ac:dyDescent="0.45">
      <c r="C51" s="15" t="s">
        <v>700</v>
      </c>
    </row>
    <row r="52" spans="3:3" x14ac:dyDescent="0.45">
      <c r="C52" s="15" t="s">
        <v>701</v>
      </c>
    </row>
    <row r="54" spans="3:3" x14ac:dyDescent="0.45">
      <c r="C54" s="14" t="s">
        <v>714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63046-2331-4FC9-B901-3F6D88572312}">
  <sheetPr>
    <tabColor rgb="FFFF0000"/>
  </sheetPr>
  <dimension ref="B1:AF28"/>
  <sheetViews>
    <sheetView topLeftCell="E1" zoomScale="70" zoomScaleNormal="70" workbookViewId="0">
      <selection activeCell="G23" sqref="G23"/>
    </sheetView>
  </sheetViews>
  <sheetFormatPr defaultColWidth="8.796875" defaultRowHeight="14.25" outlineLevelCol="1" x14ac:dyDescent="0.45"/>
  <cols>
    <col min="3" max="3" width="6.6640625" customWidth="1"/>
    <col min="4" max="4" width="7" customWidth="1"/>
    <col min="5" max="5" width="31.6640625" customWidth="1"/>
    <col min="6" max="6" width="12.46484375" customWidth="1"/>
    <col min="7" max="7" width="15.1328125" customWidth="1"/>
    <col min="9" max="9" width="9.6640625" customWidth="1" outlineLevel="1"/>
    <col min="10" max="10" width="11.46484375" customWidth="1" outlineLevel="1"/>
    <col min="11" max="11" width="10.796875" customWidth="1"/>
    <col min="12" max="12" width="11.796875" customWidth="1"/>
    <col min="13" max="13" width="10" customWidth="1"/>
    <col min="14" max="14" width="12.33203125" customWidth="1"/>
    <col min="15" max="15" width="13.33203125" customWidth="1"/>
    <col min="16" max="16" width="22.33203125" customWidth="1"/>
    <col min="17" max="18" width="14.6640625" customWidth="1"/>
    <col min="19" max="19" width="17.1328125" customWidth="1"/>
    <col min="20" max="20" width="12" customWidth="1"/>
    <col min="28" max="28" width="9"/>
  </cols>
  <sheetData>
    <row r="1" spans="2:32" x14ac:dyDescent="0.45">
      <c r="B1" t="s">
        <v>826</v>
      </c>
      <c r="R1" s="33" t="s">
        <v>848</v>
      </c>
    </row>
    <row r="2" spans="2:32" x14ac:dyDescent="0.45">
      <c r="I2" s="303" t="s">
        <v>849</v>
      </c>
      <c r="J2" s="303"/>
      <c r="P2" t="s">
        <v>847</v>
      </c>
      <c r="S2" t="s">
        <v>850</v>
      </c>
    </row>
    <row r="3" spans="2:32" x14ac:dyDescent="0.45">
      <c r="B3" s="200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3"/>
    </row>
    <row r="4" spans="2:32" s="275" customFormat="1" ht="18" x14ac:dyDescent="0.45">
      <c r="C4" s="289" t="s">
        <v>19</v>
      </c>
      <c r="D4" s="290" t="s">
        <v>50</v>
      </c>
      <c r="E4" s="291"/>
      <c r="F4" s="273"/>
      <c r="G4" s="273"/>
      <c r="H4" s="273"/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3"/>
      <c r="U4" s="273"/>
      <c r="V4" s="273"/>
      <c r="W4" s="273"/>
      <c r="X4" s="273"/>
      <c r="Y4" s="273"/>
      <c r="Z4" s="273"/>
      <c r="AA4" s="273"/>
      <c r="AB4" s="273"/>
      <c r="AC4" s="274"/>
    </row>
    <row r="5" spans="2:32" x14ac:dyDescent="0.45">
      <c r="C5" s="204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 t="s">
        <v>844</v>
      </c>
      <c r="AB5" s="182"/>
      <c r="AC5" s="206"/>
    </row>
    <row r="6" spans="2:32" s="4" customFormat="1" ht="28.5" x14ac:dyDescent="0.45">
      <c r="C6" s="279"/>
      <c r="D6" s="295" t="s">
        <v>457</v>
      </c>
      <c r="E6" s="295" t="s">
        <v>44</v>
      </c>
      <c r="F6" s="295" t="s">
        <v>825</v>
      </c>
      <c r="G6" s="295" t="s">
        <v>45</v>
      </c>
      <c r="H6" s="296" t="s">
        <v>835</v>
      </c>
      <c r="I6" s="302" t="s">
        <v>840</v>
      </c>
      <c r="J6" s="302" t="s">
        <v>541</v>
      </c>
      <c r="K6" s="302" t="s">
        <v>841</v>
      </c>
      <c r="L6" s="277" t="s">
        <v>833</v>
      </c>
      <c r="M6" s="277" t="s">
        <v>258</v>
      </c>
      <c r="N6" s="277" t="s">
        <v>836</v>
      </c>
      <c r="O6" s="277" t="s">
        <v>845</v>
      </c>
      <c r="P6" s="284" t="s">
        <v>834</v>
      </c>
      <c r="Q6" s="284" t="s">
        <v>132</v>
      </c>
      <c r="R6" s="284" t="s">
        <v>91</v>
      </c>
      <c r="S6" s="299" t="s">
        <v>837</v>
      </c>
      <c r="T6" s="278" t="s">
        <v>832</v>
      </c>
      <c r="U6" s="280">
        <v>45658</v>
      </c>
      <c r="V6" s="280">
        <v>45689</v>
      </c>
      <c r="W6" s="280">
        <v>45717</v>
      </c>
      <c r="X6" s="280">
        <v>45748</v>
      </c>
      <c r="Y6" s="280">
        <v>45778</v>
      </c>
      <c r="Z6" s="280">
        <v>45809</v>
      </c>
      <c r="AA6" s="280">
        <v>45839</v>
      </c>
      <c r="AB6" s="280" t="s">
        <v>709</v>
      </c>
      <c r="AC6" s="281"/>
    </row>
    <row r="7" spans="2:32" ht="15.5" customHeight="1" x14ac:dyDescent="0.5">
      <c r="C7" s="204"/>
      <c r="D7" s="283" t="s">
        <v>158</v>
      </c>
      <c r="E7" s="292" t="s">
        <v>46</v>
      </c>
      <c r="F7" s="269"/>
      <c r="G7" s="269"/>
      <c r="H7" s="272" t="s">
        <v>70</v>
      </c>
      <c r="I7" s="272">
        <v>24</v>
      </c>
      <c r="J7" s="272">
        <v>10</v>
      </c>
      <c r="K7" s="272">
        <v>240</v>
      </c>
      <c r="L7" s="208">
        <v>200</v>
      </c>
      <c r="M7" s="208">
        <v>300</v>
      </c>
      <c r="N7" s="301">
        <f>M7/L7-1</f>
        <v>0.5</v>
      </c>
      <c r="O7" s="208">
        <f>M7-T7</f>
        <v>20</v>
      </c>
      <c r="P7" s="208" t="s">
        <v>846</v>
      </c>
      <c r="Q7" s="297" t="s">
        <v>838</v>
      </c>
      <c r="R7" s="297" t="s">
        <v>842</v>
      </c>
      <c r="S7" s="300" t="s">
        <v>838</v>
      </c>
      <c r="T7" s="276">
        <f>SUM(U7:AA7)</f>
        <v>280</v>
      </c>
      <c r="U7" s="276">
        <v>10</v>
      </c>
      <c r="V7" s="276">
        <v>20</v>
      </c>
      <c r="W7" s="276">
        <v>30</v>
      </c>
      <c r="X7" s="276">
        <v>40</v>
      </c>
      <c r="Y7" s="276">
        <v>50</v>
      </c>
      <c r="Z7" s="276">
        <v>60</v>
      </c>
      <c r="AA7" s="276">
        <v>70</v>
      </c>
      <c r="AB7" s="297" t="s">
        <v>161</v>
      </c>
      <c r="AC7" s="206"/>
    </row>
    <row r="8" spans="2:32" ht="15.75" x14ac:dyDescent="0.45">
      <c r="C8" s="204"/>
      <c r="D8" s="293"/>
      <c r="E8" s="293"/>
      <c r="F8" s="270" t="s">
        <v>19</v>
      </c>
      <c r="G8" s="218" t="s">
        <v>51</v>
      </c>
      <c r="H8" s="182" t="s">
        <v>70</v>
      </c>
      <c r="I8" s="182">
        <v>34</v>
      </c>
      <c r="J8" s="182">
        <v>34</v>
      </c>
      <c r="K8" s="182"/>
      <c r="L8" s="182">
        <v>200</v>
      </c>
      <c r="M8" s="182">
        <v>300</v>
      </c>
      <c r="N8" s="182">
        <f>M8-L8</f>
        <v>100</v>
      </c>
      <c r="O8" s="182">
        <f t="shared" ref="O8:O25" si="0">M8-T8</f>
        <v>160</v>
      </c>
      <c r="P8" s="182" t="s">
        <v>839</v>
      </c>
      <c r="Q8" s="182" t="s">
        <v>838</v>
      </c>
      <c r="R8" s="182"/>
      <c r="S8" s="298" t="s">
        <v>838</v>
      </c>
      <c r="T8" s="285">
        <f t="shared" ref="T8:T9" si="1">SUM(U8:AA8)</f>
        <v>140</v>
      </c>
      <c r="U8" s="285">
        <v>5</v>
      </c>
      <c r="V8" s="285">
        <v>10</v>
      </c>
      <c r="W8" s="285">
        <v>15</v>
      </c>
      <c r="X8" s="285">
        <v>20</v>
      </c>
      <c r="Y8" s="285">
        <v>25</v>
      </c>
      <c r="Z8" s="285">
        <v>30</v>
      </c>
      <c r="AA8" s="285">
        <v>35</v>
      </c>
      <c r="AB8" s="298" t="s">
        <v>161</v>
      </c>
      <c r="AC8" s="206"/>
      <c r="AF8" t="s">
        <v>827</v>
      </c>
    </row>
    <row r="9" spans="2:32" ht="15.75" x14ac:dyDescent="0.45">
      <c r="C9" s="204"/>
      <c r="D9" s="293"/>
      <c r="E9" s="293"/>
      <c r="F9" s="270" t="s">
        <v>158</v>
      </c>
      <c r="G9" s="271" t="s">
        <v>11</v>
      </c>
      <c r="H9" s="182" t="s">
        <v>70</v>
      </c>
      <c r="I9" s="182">
        <v>4</v>
      </c>
      <c r="J9" s="182">
        <v>343</v>
      </c>
      <c r="K9" s="182"/>
      <c r="L9" s="182">
        <v>200</v>
      </c>
      <c r="M9" s="182">
        <v>300</v>
      </c>
      <c r="N9" s="182">
        <f>M9-L9</f>
        <v>100</v>
      </c>
      <c r="O9" s="182">
        <f t="shared" si="0"/>
        <v>160</v>
      </c>
      <c r="P9" s="182" t="s">
        <v>839</v>
      </c>
      <c r="Q9" s="182" t="s">
        <v>838</v>
      </c>
      <c r="R9" s="182"/>
      <c r="S9" s="298" t="s">
        <v>838</v>
      </c>
      <c r="T9" s="285">
        <f t="shared" si="1"/>
        <v>140</v>
      </c>
      <c r="U9" s="285">
        <v>5</v>
      </c>
      <c r="V9" s="285">
        <v>10</v>
      </c>
      <c r="W9" s="285">
        <v>15</v>
      </c>
      <c r="X9" s="285">
        <v>20</v>
      </c>
      <c r="Y9" s="285">
        <v>25</v>
      </c>
      <c r="Z9" s="285">
        <v>30</v>
      </c>
      <c r="AA9" s="285">
        <v>35</v>
      </c>
      <c r="AB9" s="298" t="s">
        <v>161</v>
      </c>
      <c r="AC9" s="206"/>
      <c r="AF9" t="s">
        <v>828</v>
      </c>
    </row>
    <row r="10" spans="2:32" ht="15.75" x14ac:dyDescent="0.45">
      <c r="C10" s="204"/>
      <c r="D10" s="293"/>
      <c r="E10" s="293"/>
      <c r="F10" s="270" t="s">
        <v>161</v>
      </c>
      <c r="G10" s="271"/>
      <c r="H10" s="182" t="s">
        <v>70</v>
      </c>
      <c r="I10" s="182">
        <v>3</v>
      </c>
      <c r="J10" s="182">
        <v>2</v>
      </c>
      <c r="K10" s="182"/>
      <c r="L10" s="182">
        <v>200</v>
      </c>
      <c r="M10" s="182">
        <v>300</v>
      </c>
      <c r="N10" s="182">
        <f>M10-L10</f>
        <v>100</v>
      </c>
      <c r="O10" s="182">
        <f t="shared" si="0"/>
        <v>300</v>
      </c>
      <c r="P10" s="182" t="s">
        <v>839</v>
      </c>
      <c r="Q10" s="182" t="s">
        <v>838</v>
      </c>
      <c r="R10" s="182"/>
      <c r="S10" s="182" t="s">
        <v>838</v>
      </c>
      <c r="T10" s="276"/>
      <c r="U10" s="182"/>
      <c r="V10" s="182"/>
      <c r="W10" s="182"/>
      <c r="X10" s="182"/>
      <c r="Y10" s="182"/>
      <c r="Z10" s="182"/>
      <c r="AA10" s="182"/>
      <c r="AB10" s="182" t="s">
        <v>161</v>
      </c>
      <c r="AC10" s="206"/>
      <c r="AF10" t="s">
        <v>829</v>
      </c>
    </row>
    <row r="11" spans="2:32" ht="15.75" x14ac:dyDescent="0.45">
      <c r="C11" s="204"/>
      <c r="D11" s="282" t="s">
        <v>159</v>
      </c>
      <c r="E11" s="292" t="s">
        <v>458</v>
      </c>
      <c r="F11" s="217"/>
      <c r="G11" s="217"/>
      <c r="H11" s="268" t="s">
        <v>41</v>
      </c>
      <c r="I11" s="272">
        <v>24</v>
      </c>
      <c r="J11" s="272">
        <v>10</v>
      </c>
      <c r="K11" s="272">
        <v>240</v>
      </c>
      <c r="L11" s="208">
        <v>200</v>
      </c>
      <c r="M11" s="208">
        <v>300</v>
      </c>
      <c r="N11" s="301">
        <f>M11/L11-1</f>
        <v>0.5</v>
      </c>
      <c r="O11" s="208">
        <f t="shared" si="0"/>
        <v>20</v>
      </c>
      <c r="P11" s="208" t="s">
        <v>843</v>
      </c>
      <c r="Q11" s="182"/>
      <c r="R11" s="182"/>
      <c r="S11" s="297" t="s">
        <v>838</v>
      </c>
      <c r="T11" s="276">
        <f>SUM(U11:AA11)</f>
        <v>280</v>
      </c>
      <c r="U11" s="276">
        <v>10</v>
      </c>
      <c r="V11" s="276">
        <v>20</v>
      </c>
      <c r="W11" s="276">
        <v>30</v>
      </c>
      <c r="X11" s="276">
        <v>40</v>
      </c>
      <c r="Y11" s="276">
        <v>50</v>
      </c>
      <c r="Z11" s="276">
        <v>60</v>
      </c>
      <c r="AA11" s="276">
        <v>70</v>
      </c>
      <c r="AB11" s="297" t="s">
        <v>161</v>
      </c>
      <c r="AC11" s="206"/>
      <c r="AF11" t="s">
        <v>830</v>
      </c>
    </row>
    <row r="12" spans="2:32" ht="15.75" x14ac:dyDescent="0.5">
      <c r="C12" s="204"/>
      <c r="D12" s="282"/>
      <c r="E12" s="283"/>
      <c r="F12" s="286" t="s">
        <v>19</v>
      </c>
      <c r="G12" s="225" t="s">
        <v>51</v>
      </c>
      <c r="H12" s="208"/>
      <c r="I12" s="182">
        <v>34</v>
      </c>
      <c r="J12" s="182">
        <v>34</v>
      </c>
      <c r="K12" s="182"/>
      <c r="L12" s="182">
        <v>200</v>
      </c>
      <c r="M12" s="182">
        <v>300</v>
      </c>
      <c r="N12" s="182">
        <f>M12-L12</f>
        <v>100</v>
      </c>
      <c r="O12" s="182">
        <f t="shared" si="0"/>
        <v>160</v>
      </c>
      <c r="P12" s="182" t="s">
        <v>839</v>
      </c>
      <c r="Q12" s="182"/>
      <c r="R12" s="182"/>
      <c r="S12" s="298" t="s">
        <v>838</v>
      </c>
      <c r="T12" s="285">
        <f t="shared" ref="T12:T13" si="2">SUM(U12:AA12)</f>
        <v>140</v>
      </c>
      <c r="U12" s="285">
        <v>5</v>
      </c>
      <c r="V12" s="285">
        <v>10</v>
      </c>
      <c r="W12" s="285">
        <v>15</v>
      </c>
      <c r="X12" s="285">
        <v>20</v>
      </c>
      <c r="Y12" s="285">
        <v>25</v>
      </c>
      <c r="Z12" s="285">
        <v>30</v>
      </c>
      <c r="AA12" s="285">
        <v>35</v>
      </c>
      <c r="AB12" s="298" t="s">
        <v>161</v>
      </c>
      <c r="AC12" s="206"/>
      <c r="AF12" t="s">
        <v>831</v>
      </c>
    </row>
    <row r="13" spans="2:32" ht="15.75" x14ac:dyDescent="0.5">
      <c r="C13" s="204"/>
      <c r="D13" s="282"/>
      <c r="E13" s="283"/>
      <c r="F13" s="286" t="s">
        <v>158</v>
      </c>
      <c r="G13" s="287" t="s">
        <v>11</v>
      </c>
      <c r="H13" s="208"/>
      <c r="I13" s="182">
        <v>4</v>
      </c>
      <c r="J13" s="182">
        <v>343</v>
      </c>
      <c r="K13" s="182"/>
      <c r="L13" s="182">
        <v>200</v>
      </c>
      <c r="M13" s="182">
        <v>300</v>
      </c>
      <c r="N13" s="182">
        <f>M13-L13</f>
        <v>100</v>
      </c>
      <c r="O13" s="182">
        <f t="shared" si="0"/>
        <v>160</v>
      </c>
      <c r="P13" s="182" t="s">
        <v>839</v>
      </c>
      <c r="Q13" s="182"/>
      <c r="R13" s="182"/>
      <c r="S13" s="298" t="s">
        <v>838</v>
      </c>
      <c r="T13" s="285">
        <f t="shared" si="2"/>
        <v>140</v>
      </c>
      <c r="U13" s="285">
        <v>5</v>
      </c>
      <c r="V13" s="285">
        <v>10</v>
      </c>
      <c r="W13" s="285">
        <v>15</v>
      </c>
      <c r="X13" s="285">
        <v>20</v>
      </c>
      <c r="Y13" s="285">
        <v>25</v>
      </c>
      <c r="Z13" s="285">
        <v>30</v>
      </c>
      <c r="AA13" s="285">
        <v>35</v>
      </c>
      <c r="AB13" s="298" t="s">
        <v>161</v>
      </c>
      <c r="AC13" s="206"/>
    </row>
    <row r="14" spans="2:32" ht="15.75" x14ac:dyDescent="0.5">
      <c r="C14" s="204"/>
      <c r="D14" s="282"/>
      <c r="E14" s="283"/>
      <c r="F14" s="286" t="s">
        <v>161</v>
      </c>
      <c r="G14" s="287"/>
      <c r="H14" s="208"/>
      <c r="I14" s="182">
        <v>3</v>
      </c>
      <c r="J14" s="182">
        <v>2</v>
      </c>
      <c r="K14" s="182"/>
      <c r="L14" s="182">
        <v>200</v>
      </c>
      <c r="M14" s="182">
        <v>300</v>
      </c>
      <c r="N14" s="182">
        <f>M14-L14</f>
        <v>100</v>
      </c>
      <c r="O14" s="182">
        <f t="shared" si="0"/>
        <v>300</v>
      </c>
      <c r="P14" s="182" t="s">
        <v>839</v>
      </c>
      <c r="Q14" s="182"/>
      <c r="R14" s="182"/>
      <c r="S14" s="182" t="s">
        <v>838</v>
      </c>
      <c r="T14" s="276"/>
      <c r="U14" s="182"/>
      <c r="V14" s="182"/>
      <c r="W14" s="182"/>
      <c r="X14" s="182"/>
      <c r="Y14" s="182"/>
      <c r="Z14" s="182"/>
      <c r="AA14" s="182"/>
      <c r="AB14" s="182" t="s">
        <v>161</v>
      </c>
      <c r="AC14" s="206"/>
    </row>
    <row r="15" spans="2:32" ht="15.75" x14ac:dyDescent="0.45">
      <c r="C15" s="204"/>
      <c r="D15" s="282" t="s">
        <v>460</v>
      </c>
      <c r="E15" s="292" t="s">
        <v>39</v>
      </c>
      <c r="F15" s="288"/>
      <c r="G15" s="288" t="s">
        <v>156</v>
      </c>
      <c r="H15" s="268" t="s">
        <v>40</v>
      </c>
      <c r="I15" s="272">
        <v>24</v>
      </c>
      <c r="J15" s="272">
        <v>10</v>
      </c>
      <c r="K15" s="272">
        <v>240</v>
      </c>
      <c r="L15" s="208">
        <v>200</v>
      </c>
      <c r="M15" s="208">
        <v>300</v>
      </c>
      <c r="N15" s="301">
        <f>M15/L15-1</f>
        <v>0.5</v>
      </c>
      <c r="O15" s="208">
        <f t="shared" si="0"/>
        <v>-78100</v>
      </c>
      <c r="P15" s="208" t="s">
        <v>843</v>
      </c>
      <c r="Q15" s="182"/>
      <c r="R15" s="182"/>
      <c r="S15" s="297" t="s">
        <v>838</v>
      </c>
      <c r="T15" s="276">
        <f>T11*T7</f>
        <v>78400</v>
      </c>
      <c r="U15" s="276">
        <f t="shared" ref="U15:AA15" si="3">U11*U7</f>
        <v>100</v>
      </c>
      <c r="V15" s="276">
        <f t="shared" si="3"/>
        <v>400</v>
      </c>
      <c r="W15" s="276">
        <f t="shared" si="3"/>
        <v>900</v>
      </c>
      <c r="X15" s="276">
        <f t="shared" si="3"/>
        <v>1600</v>
      </c>
      <c r="Y15" s="276">
        <f t="shared" si="3"/>
        <v>2500</v>
      </c>
      <c r="Z15" s="276">
        <f t="shared" si="3"/>
        <v>3600</v>
      </c>
      <c r="AA15" s="276">
        <f t="shared" si="3"/>
        <v>4900</v>
      </c>
      <c r="AB15" s="297" t="s">
        <v>161</v>
      </c>
      <c r="AC15" s="206"/>
    </row>
    <row r="16" spans="2:32" ht="15.75" x14ac:dyDescent="0.5">
      <c r="C16" s="204"/>
      <c r="D16" s="282"/>
      <c r="E16" s="283"/>
      <c r="F16" s="286" t="s">
        <v>19</v>
      </c>
      <c r="G16" s="225" t="s">
        <v>51</v>
      </c>
      <c r="H16" s="182"/>
      <c r="I16" s="182">
        <v>34</v>
      </c>
      <c r="J16" s="182">
        <v>34</v>
      </c>
      <c r="K16" s="182"/>
      <c r="L16" s="182">
        <v>200</v>
      </c>
      <c r="M16" s="182">
        <v>300</v>
      </c>
      <c r="N16" s="182">
        <f>M16-L16</f>
        <v>100</v>
      </c>
      <c r="O16" s="182">
        <f t="shared" si="0"/>
        <v>-19300</v>
      </c>
      <c r="P16" s="182" t="s">
        <v>839</v>
      </c>
      <c r="Q16" s="182"/>
      <c r="R16" s="182"/>
      <c r="S16" s="298" t="s">
        <v>838</v>
      </c>
      <c r="T16" s="285">
        <f t="shared" ref="T16:AA16" si="4">T12*T8</f>
        <v>19600</v>
      </c>
      <c r="U16" s="285">
        <f t="shared" si="4"/>
        <v>25</v>
      </c>
      <c r="V16" s="285">
        <f t="shared" si="4"/>
        <v>100</v>
      </c>
      <c r="W16" s="285">
        <f t="shared" si="4"/>
        <v>225</v>
      </c>
      <c r="X16" s="285">
        <f t="shared" si="4"/>
        <v>400</v>
      </c>
      <c r="Y16" s="285">
        <f t="shared" si="4"/>
        <v>625</v>
      </c>
      <c r="Z16" s="285">
        <f t="shared" si="4"/>
        <v>900</v>
      </c>
      <c r="AA16" s="285">
        <f t="shared" si="4"/>
        <v>1225</v>
      </c>
      <c r="AB16" s="298" t="s">
        <v>161</v>
      </c>
      <c r="AC16" s="206"/>
    </row>
    <row r="17" spans="2:29" ht="15.75" x14ac:dyDescent="0.5">
      <c r="C17" s="204"/>
      <c r="D17" s="282"/>
      <c r="E17" s="283"/>
      <c r="F17" s="286" t="s">
        <v>158</v>
      </c>
      <c r="G17" s="287" t="s">
        <v>11</v>
      </c>
      <c r="H17" s="182"/>
      <c r="I17" s="182">
        <v>4</v>
      </c>
      <c r="J17" s="182">
        <v>343</v>
      </c>
      <c r="K17" s="182"/>
      <c r="L17" s="182">
        <v>200</v>
      </c>
      <c r="M17" s="182">
        <v>300</v>
      </c>
      <c r="N17" s="182">
        <f>M17-L17</f>
        <v>100</v>
      </c>
      <c r="O17" s="182">
        <f t="shared" si="0"/>
        <v>-19300</v>
      </c>
      <c r="P17" s="182" t="s">
        <v>839</v>
      </c>
      <c r="Q17" s="182"/>
      <c r="R17" s="182"/>
      <c r="S17" s="298" t="s">
        <v>838</v>
      </c>
      <c r="T17" s="285">
        <f t="shared" ref="T17:AA17" si="5">T13*T9</f>
        <v>19600</v>
      </c>
      <c r="U17" s="285">
        <f t="shared" si="5"/>
        <v>25</v>
      </c>
      <c r="V17" s="285">
        <f t="shared" si="5"/>
        <v>100</v>
      </c>
      <c r="W17" s="285">
        <f t="shared" si="5"/>
        <v>225</v>
      </c>
      <c r="X17" s="285">
        <f t="shared" si="5"/>
        <v>400</v>
      </c>
      <c r="Y17" s="285">
        <f t="shared" si="5"/>
        <v>625</v>
      </c>
      <c r="Z17" s="285">
        <f t="shared" si="5"/>
        <v>900</v>
      </c>
      <c r="AA17" s="285">
        <f t="shared" si="5"/>
        <v>1225</v>
      </c>
      <c r="AB17" s="298" t="s">
        <v>161</v>
      </c>
      <c r="AC17" s="206"/>
    </row>
    <row r="18" spans="2:29" ht="15.75" x14ac:dyDescent="0.5">
      <c r="C18" s="204"/>
      <c r="D18" s="282"/>
      <c r="E18" s="283"/>
      <c r="F18" s="286" t="s">
        <v>161</v>
      </c>
      <c r="G18" s="287"/>
      <c r="H18" s="182"/>
      <c r="I18" s="182">
        <v>3</v>
      </c>
      <c r="J18" s="182">
        <v>2</v>
      </c>
      <c r="K18" s="182"/>
      <c r="L18" s="182">
        <v>200</v>
      </c>
      <c r="M18" s="182">
        <v>300</v>
      </c>
      <c r="N18" s="182">
        <f>M18-L18</f>
        <v>100</v>
      </c>
      <c r="O18" s="182">
        <f t="shared" si="0"/>
        <v>300</v>
      </c>
      <c r="P18" s="182" t="s">
        <v>839</v>
      </c>
      <c r="Q18" s="182"/>
      <c r="R18" s="182"/>
      <c r="S18" s="182" t="s">
        <v>838</v>
      </c>
      <c r="T18" s="276"/>
      <c r="U18" s="182"/>
      <c r="V18" s="182"/>
      <c r="W18" s="182"/>
      <c r="X18" s="182"/>
      <c r="Y18" s="182"/>
      <c r="Z18" s="182"/>
      <c r="AA18" s="182"/>
      <c r="AB18" s="182" t="s">
        <v>161</v>
      </c>
      <c r="AC18" s="206"/>
    </row>
    <row r="19" spans="2:29" ht="15.75" x14ac:dyDescent="0.45">
      <c r="C19" s="204"/>
      <c r="D19" s="294" t="s">
        <v>461</v>
      </c>
      <c r="E19" s="292" t="s">
        <v>95</v>
      </c>
      <c r="F19" s="288"/>
      <c r="G19" s="288"/>
      <c r="H19" s="268" t="s">
        <v>40</v>
      </c>
      <c r="I19" s="272">
        <v>24</v>
      </c>
      <c r="J19" s="272">
        <v>10</v>
      </c>
      <c r="K19" s="272">
        <v>240</v>
      </c>
      <c r="L19" s="208">
        <v>200</v>
      </c>
      <c r="M19" s="208">
        <v>300</v>
      </c>
      <c r="N19" s="301">
        <f>M19/L19-1</f>
        <v>0.5</v>
      </c>
      <c r="O19" s="208">
        <f t="shared" si="0"/>
        <v>-156500</v>
      </c>
      <c r="P19" s="208" t="s">
        <v>843</v>
      </c>
      <c r="Q19" s="182"/>
      <c r="R19" s="182"/>
      <c r="S19" s="182" t="s">
        <v>838</v>
      </c>
      <c r="T19" s="276">
        <f>T15*2</f>
        <v>156800</v>
      </c>
      <c r="U19" s="276">
        <f t="shared" ref="U19:AA19" si="6">U15*2</f>
        <v>200</v>
      </c>
      <c r="V19" s="276">
        <f t="shared" si="6"/>
        <v>800</v>
      </c>
      <c r="W19" s="276">
        <f t="shared" si="6"/>
        <v>1800</v>
      </c>
      <c r="X19" s="276">
        <f t="shared" si="6"/>
        <v>3200</v>
      </c>
      <c r="Y19" s="276">
        <f t="shared" si="6"/>
        <v>5000</v>
      </c>
      <c r="Z19" s="276">
        <f t="shared" si="6"/>
        <v>7200</v>
      </c>
      <c r="AA19" s="276">
        <f t="shared" si="6"/>
        <v>9800</v>
      </c>
      <c r="AB19" s="297" t="s">
        <v>161</v>
      </c>
      <c r="AC19" s="206"/>
    </row>
    <row r="20" spans="2:29" ht="15.75" x14ac:dyDescent="0.45">
      <c r="C20" s="204"/>
      <c r="D20" s="282"/>
      <c r="E20" s="292"/>
      <c r="F20" s="286" t="s">
        <v>19</v>
      </c>
      <c r="G20" s="225" t="s">
        <v>51</v>
      </c>
      <c r="H20" s="182"/>
      <c r="I20" s="182">
        <v>34</v>
      </c>
      <c r="J20" s="182">
        <v>34</v>
      </c>
      <c r="K20" s="182"/>
      <c r="L20" s="182">
        <v>200</v>
      </c>
      <c r="M20" s="182">
        <v>300</v>
      </c>
      <c r="N20" s="182">
        <f>M20-L20</f>
        <v>100</v>
      </c>
      <c r="O20" s="182">
        <f t="shared" si="0"/>
        <v>-38900</v>
      </c>
      <c r="P20" s="182" t="s">
        <v>839</v>
      </c>
      <c r="Q20" s="182"/>
      <c r="R20" s="182"/>
      <c r="S20" s="182" t="s">
        <v>838</v>
      </c>
      <c r="T20" s="285">
        <f t="shared" ref="T20:AA20" si="7">T16*2</f>
        <v>39200</v>
      </c>
      <c r="U20" s="285">
        <f t="shared" si="7"/>
        <v>50</v>
      </c>
      <c r="V20" s="285">
        <f t="shared" si="7"/>
        <v>200</v>
      </c>
      <c r="W20" s="285">
        <f t="shared" si="7"/>
        <v>450</v>
      </c>
      <c r="X20" s="285">
        <f t="shared" si="7"/>
        <v>800</v>
      </c>
      <c r="Y20" s="285">
        <f t="shared" si="7"/>
        <v>1250</v>
      </c>
      <c r="Z20" s="285">
        <f t="shared" si="7"/>
        <v>1800</v>
      </c>
      <c r="AA20" s="285">
        <f t="shared" si="7"/>
        <v>2450</v>
      </c>
      <c r="AB20" s="298" t="s">
        <v>161</v>
      </c>
      <c r="AC20" s="206"/>
    </row>
    <row r="21" spans="2:29" ht="15.75" x14ac:dyDescent="0.45">
      <c r="C21" s="204"/>
      <c r="D21" s="282"/>
      <c r="E21" s="292"/>
      <c r="F21" s="286" t="s">
        <v>158</v>
      </c>
      <c r="G21" s="287" t="s">
        <v>11</v>
      </c>
      <c r="H21" s="182"/>
      <c r="I21" s="182">
        <v>4</v>
      </c>
      <c r="J21" s="182">
        <v>343</v>
      </c>
      <c r="K21" s="182"/>
      <c r="L21" s="182">
        <v>200</v>
      </c>
      <c r="M21" s="182">
        <v>300</v>
      </c>
      <c r="N21" s="182">
        <f>M21-L21</f>
        <v>100</v>
      </c>
      <c r="O21" s="182">
        <f t="shared" si="0"/>
        <v>-38900</v>
      </c>
      <c r="P21" s="182" t="s">
        <v>839</v>
      </c>
      <c r="Q21" s="182"/>
      <c r="R21" s="182"/>
      <c r="S21" s="182" t="s">
        <v>838</v>
      </c>
      <c r="T21" s="285">
        <f t="shared" ref="T21:AA21" si="8">T17*2</f>
        <v>39200</v>
      </c>
      <c r="U21" s="285">
        <f t="shared" si="8"/>
        <v>50</v>
      </c>
      <c r="V21" s="285">
        <f t="shared" si="8"/>
        <v>200</v>
      </c>
      <c r="W21" s="285">
        <f t="shared" si="8"/>
        <v>450</v>
      </c>
      <c r="X21" s="285">
        <f t="shared" si="8"/>
        <v>800</v>
      </c>
      <c r="Y21" s="285">
        <f t="shared" si="8"/>
        <v>1250</v>
      </c>
      <c r="Z21" s="285">
        <f t="shared" si="8"/>
        <v>1800</v>
      </c>
      <c r="AA21" s="285">
        <f t="shared" si="8"/>
        <v>2450</v>
      </c>
      <c r="AB21" s="298" t="s">
        <v>161</v>
      </c>
      <c r="AC21" s="206"/>
    </row>
    <row r="22" spans="2:29" ht="15.75" x14ac:dyDescent="0.45">
      <c r="C22" s="204"/>
      <c r="D22" s="282"/>
      <c r="E22" s="292"/>
      <c r="F22" s="286" t="s">
        <v>161</v>
      </c>
      <c r="G22" s="287"/>
      <c r="H22" s="182"/>
      <c r="I22" s="182">
        <v>3</v>
      </c>
      <c r="J22" s="182">
        <v>2</v>
      </c>
      <c r="K22" s="182"/>
      <c r="L22" s="182">
        <v>200</v>
      </c>
      <c r="M22" s="182">
        <v>300</v>
      </c>
      <c r="N22" s="182">
        <f>M22-L22</f>
        <v>100</v>
      </c>
      <c r="O22" s="182">
        <f t="shared" si="0"/>
        <v>300</v>
      </c>
      <c r="P22" s="182" t="s">
        <v>839</v>
      </c>
      <c r="Q22" s="182"/>
      <c r="R22" s="182"/>
      <c r="S22" s="182" t="s">
        <v>838</v>
      </c>
      <c r="T22" s="182"/>
      <c r="U22" s="182"/>
      <c r="V22" s="182"/>
      <c r="W22" s="182"/>
      <c r="X22" s="182"/>
      <c r="Y22" s="182"/>
      <c r="Z22" s="182"/>
      <c r="AA22" s="182"/>
      <c r="AB22" s="182" t="s">
        <v>161</v>
      </c>
      <c r="AC22" s="206"/>
    </row>
    <row r="23" spans="2:29" ht="15.75" x14ac:dyDescent="0.45">
      <c r="C23" s="204"/>
      <c r="D23" s="294" t="s">
        <v>463</v>
      </c>
      <c r="E23" s="292" t="s">
        <v>422</v>
      </c>
      <c r="F23" s="182"/>
      <c r="G23" s="182"/>
      <c r="H23" s="268" t="s">
        <v>40</v>
      </c>
      <c r="I23" s="272">
        <v>24</v>
      </c>
      <c r="J23" s="272">
        <v>10</v>
      </c>
      <c r="K23" s="272">
        <v>240</v>
      </c>
      <c r="L23" s="208">
        <v>200</v>
      </c>
      <c r="M23" s="208">
        <v>300</v>
      </c>
      <c r="N23" s="301">
        <f t="shared" ref="N23:N25" si="9">M23/L23-1</f>
        <v>0.5</v>
      </c>
      <c r="O23" s="208">
        <f t="shared" si="0"/>
        <v>-313300</v>
      </c>
      <c r="P23" s="208" t="s">
        <v>843</v>
      </c>
      <c r="Q23" s="182"/>
      <c r="R23" s="182"/>
      <c r="S23" s="182" t="s">
        <v>838</v>
      </c>
      <c r="T23" s="276">
        <f>T19*2</f>
        <v>313600</v>
      </c>
      <c r="U23" s="276">
        <f t="shared" ref="U23:AA25" si="10">U19*2</f>
        <v>400</v>
      </c>
      <c r="V23" s="276">
        <f t="shared" si="10"/>
        <v>1600</v>
      </c>
      <c r="W23" s="276">
        <f t="shared" si="10"/>
        <v>3600</v>
      </c>
      <c r="X23" s="276">
        <f t="shared" si="10"/>
        <v>6400</v>
      </c>
      <c r="Y23" s="276">
        <f t="shared" si="10"/>
        <v>10000</v>
      </c>
      <c r="Z23" s="276">
        <f t="shared" si="10"/>
        <v>14400</v>
      </c>
      <c r="AA23" s="276">
        <f t="shared" si="10"/>
        <v>19600</v>
      </c>
      <c r="AB23" s="297" t="s">
        <v>161</v>
      </c>
      <c r="AC23" s="206"/>
    </row>
    <row r="24" spans="2:29" ht="15.75" x14ac:dyDescent="0.45">
      <c r="C24" s="204"/>
      <c r="D24" s="294" t="s">
        <v>464</v>
      </c>
      <c r="E24" s="292" t="s">
        <v>296</v>
      </c>
      <c r="F24" s="182"/>
      <c r="G24" s="182"/>
      <c r="H24" s="268" t="s">
        <v>40</v>
      </c>
      <c r="I24" s="272">
        <v>24</v>
      </c>
      <c r="J24" s="272">
        <v>10</v>
      </c>
      <c r="K24" s="272">
        <v>240</v>
      </c>
      <c r="L24" s="208">
        <v>200</v>
      </c>
      <c r="M24" s="208">
        <v>300</v>
      </c>
      <c r="N24" s="301">
        <f t="shared" si="9"/>
        <v>0.5</v>
      </c>
      <c r="O24" s="208">
        <f t="shared" si="0"/>
        <v>-78100</v>
      </c>
      <c r="P24" s="208" t="s">
        <v>843</v>
      </c>
      <c r="Q24" s="182"/>
      <c r="R24" s="182"/>
      <c r="S24" s="182" t="s">
        <v>838</v>
      </c>
      <c r="T24" s="276">
        <f>T20*2</f>
        <v>78400</v>
      </c>
      <c r="U24" s="276">
        <f t="shared" si="10"/>
        <v>100</v>
      </c>
      <c r="V24" s="276">
        <f t="shared" si="10"/>
        <v>400</v>
      </c>
      <c r="W24" s="276">
        <f t="shared" si="10"/>
        <v>900</v>
      </c>
      <c r="X24" s="276">
        <f t="shared" si="10"/>
        <v>1600</v>
      </c>
      <c r="Y24" s="276">
        <f t="shared" si="10"/>
        <v>2500</v>
      </c>
      <c r="Z24" s="276">
        <f t="shared" si="10"/>
        <v>3600</v>
      </c>
      <c r="AA24" s="276">
        <f t="shared" si="10"/>
        <v>4900</v>
      </c>
      <c r="AB24" s="297" t="s">
        <v>161</v>
      </c>
      <c r="AC24" s="206"/>
    </row>
    <row r="25" spans="2:29" ht="31.5" x14ac:dyDescent="0.45">
      <c r="B25" s="204"/>
      <c r="C25" s="182"/>
      <c r="D25" s="294" t="s">
        <v>465</v>
      </c>
      <c r="E25" s="292" t="s">
        <v>297</v>
      </c>
      <c r="F25" s="182"/>
      <c r="G25" s="182"/>
      <c r="H25" s="268" t="s">
        <v>40</v>
      </c>
      <c r="I25" s="272">
        <v>4</v>
      </c>
      <c r="J25" s="272">
        <v>10</v>
      </c>
      <c r="K25" s="272">
        <v>240</v>
      </c>
      <c r="L25" s="208">
        <v>200</v>
      </c>
      <c r="M25" s="208">
        <v>300</v>
      </c>
      <c r="N25" s="301">
        <f t="shared" si="9"/>
        <v>0.5</v>
      </c>
      <c r="O25" s="208">
        <f t="shared" si="0"/>
        <v>-78100</v>
      </c>
      <c r="P25" s="208" t="s">
        <v>843</v>
      </c>
      <c r="Q25" s="182"/>
      <c r="R25" s="182"/>
      <c r="S25" s="182" t="s">
        <v>838</v>
      </c>
      <c r="T25" s="276">
        <f>T21*2</f>
        <v>78400</v>
      </c>
      <c r="U25" s="276">
        <f t="shared" si="10"/>
        <v>100</v>
      </c>
      <c r="V25" s="276">
        <f t="shared" si="10"/>
        <v>400</v>
      </c>
      <c r="W25" s="276">
        <f t="shared" si="10"/>
        <v>900</v>
      </c>
      <c r="X25" s="276">
        <f t="shared" si="10"/>
        <v>1600</v>
      </c>
      <c r="Y25" s="276">
        <f t="shared" si="10"/>
        <v>2500</v>
      </c>
      <c r="Z25" s="276">
        <f t="shared" si="10"/>
        <v>3600</v>
      </c>
      <c r="AA25" s="276">
        <f t="shared" si="10"/>
        <v>4900</v>
      </c>
      <c r="AB25" s="297" t="s">
        <v>161</v>
      </c>
      <c r="AC25" s="206"/>
    </row>
    <row r="26" spans="2:29" x14ac:dyDescent="0.45">
      <c r="B26" s="204"/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  <c r="AC26" s="206"/>
    </row>
    <row r="27" spans="2:29" x14ac:dyDescent="0.45">
      <c r="B27" s="204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206"/>
    </row>
    <row r="28" spans="2:29" x14ac:dyDescent="0.45">
      <c r="B28" s="214"/>
      <c r="C28" s="215"/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  <c r="V28" s="215"/>
      <c r="W28" s="215"/>
      <c r="X28" s="215"/>
      <c r="Y28" s="215"/>
      <c r="Z28" s="215"/>
      <c r="AA28" s="215"/>
      <c r="AB28" s="215"/>
      <c r="AC28" s="216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A8B51-BCD6-E349-A71A-3A2F026B88CC}">
  <sheetPr>
    <tabColor rgb="FFFF0000"/>
  </sheetPr>
  <dimension ref="B1:M66"/>
  <sheetViews>
    <sheetView showGridLines="0" zoomScale="55" zoomScaleNormal="5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L12" sqref="L12"/>
    </sheetView>
  </sheetViews>
  <sheetFormatPr defaultColWidth="8.796875" defaultRowHeight="14.25" outlineLevelRow="1" x14ac:dyDescent="0.45"/>
  <cols>
    <col min="1" max="1" width="3.46484375" customWidth="1"/>
    <col min="2" max="2" width="16.1328125" customWidth="1"/>
    <col min="3" max="3" width="3.6640625" customWidth="1"/>
    <col min="4" max="4" width="8.33203125" style="129" customWidth="1"/>
    <col min="5" max="5" width="35.46484375" bestFit="1" customWidth="1"/>
    <col min="7" max="7" width="8.796875" style="129"/>
    <col min="8" max="8" width="35.46484375" bestFit="1" customWidth="1"/>
    <col min="11" max="11" width="8.796875" style="129"/>
    <col min="12" max="12" width="41.1328125" bestFit="1" customWidth="1"/>
    <col min="13" max="13" width="5.46484375" customWidth="1"/>
  </cols>
  <sheetData>
    <row r="1" spans="4:13" x14ac:dyDescent="0.45">
      <c r="L1" s="130" t="s">
        <v>551</v>
      </c>
      <c r="M1" s="130"/>
    </row>
    <row r="2" spans="4:13" s="132" customFormat="1" x14ac:dyDescent="0.45">
      <c r="D2" s="131"/>
      <c r="G2" s="131"/>
      <c r="K2" s="131"/>
    </row>
    <row r="4" spans="4:13" ht="15.75" x14ac:dyDescent="0.45">
      <c r="H4" s="133" t="s">
        <v>552</v>
      </c>
      <c r="M4" s="134"/>
    </row>
    <row r="9" spans="4:13" ht="15.75" x14ac:dyDescent="0.45">
      <c r="H9" s="133" t="s">
        <v>398</v>
      </c>
    </row>
    <row r="10" spans="4:13" x14ac:dyDescent="0.45">
      <c r="H10" s="135" t="s">
        <v>553</v>
      </c>
      <c r="L10" t="s">
        <v>587</v>
      </c>
    </row>
    <row r="11" spans="4:13" x14ac:dyDescent="0.45">
      <c r="H11" s="135" t="s">
        <v>554</v>
      </c>
      <c r="L11" t="s">
        <v>588</v>
      </c>
    </row>
    <row r="12" spans="4:13" x14ac:dyDescent="0.45">
      <c r="H12" s="135"/>
    </row>
    <row r="13" spans="4:13" x14ac:dyDescent="0.45">
      <c r="H13" s="135"/>
    </row>
    <row r="14" spans="4:13" x14ac:dyDescent="0.45">
      <c r="H14" s="135"/>
    </row>
    <row r="15" spans="4:13" x14ac:dyDescent="0.45">
      <c r="H15" s="135"/>
    </row>
    <row r="16" spans="4:13" x14ac:dyDescent="0.45">
      <c r="H16" s="135"/>
    </row>
    <row r="17" spans="2:13" x14ac:dyDescent="0.45">
      <c r="H17" s="135"/>
    </row>
    <row r="18" spans="2:13" x14ac:dyDescent="0.45">
      <c r="H18" s="135"/>
    </row>
    <row r="19" spans="2:13" x14ac:dyDescent="0.45">
      <c r="H19" s="135"/>
    </row>
    <row r="20" spans="2:13" x14ac:dyDescent="0.45">
      <c r="H20" s="135"/>
    </row>
    <row r="21" spans="2:13" x14ac:dyDescent="0.45">
      <c r="H21" s="135"/>
    </row>
    <row r="22" spans="2:13" ht="15.75" x14ac:dyDescent="0.45">
      <c r="B22" s="136" t="s">
        <v>176</v>
      </c>
      <c r="L22" s="137" t="s">
        <v>555</v>
      </c>
      <c r="M22" s="134"/>
    </row>
    <row r="23" spans="2:13" x14ac:dyDescent="0.45">
      <c r="B23" t="s">
        <v>556</v>
      </c>
    </row>
    <row r="24" spans="2:13" ht="15.75" x14ac:dyDescent="0.45">
      <c r="B24" t="s">
        <v>557</v>
      </c>
      <c r="L24" s="137" t="s">
        <v>290</v>
      </c>
      <c r="M24" s="134"/>
    </row>
    <row r="25" spans="2:13" ht="15.75" x14ac:dyDescent="0.45">
      <c r="B25" t="s">
        <v>558</v>
      </c>
      <c r="H25" s="133" t="s">
        <v>559</v>
      </c>
      <c r="L25" s="138" t="s">
        <v>560</v>
      </c>
      <c r="M25" s="139"/>
    </row>
    <row r="26" spans="2:13" outlineLevel="1" x14ac:dyDescent="0.45">
      <c r="B26" t="s">
        <v>561</v>
      </c>
      <c r="H26" s="135" t="s">
        <v>562</v>
      </c>
      <c r="L26" s="138" t="s">
        <v>195</v>
      </c>
      <c r="M26" s="139"/>
    </row>
    <row r="27" spans="2:13" outlineLevel="1" x14ac:dyDescent="0.45">
      <c r="B27" t="s">
        <v>563</v>
      </c>
      <c r="H27" s="135" t="s">
        <v>564</v>
      </c>
      <c r="L27" s="138" t="s">
        <v>565</v>
      </c>
      <c r="M27" s="139"/>
    </row>
    <row r="28" spans="2:13" ht="15.75" outlineLevel="1" x14ac:dyDescent="0.45">
      <c r="E28" s="140" t="s">
        <v>0</v>
      </c>
      <c r="H28" s="135" t="s">
        <v>566</v>
      </c>
      <c r="L28" s="138" t="s">
        <v>567</v>
      </c>
      <c r="M28" s="139"/>
    </row>
    <row r="29" spans="2:13" outlineLevel="1" x14ac:dyDescent="0.45">
      <c r="E29" s="135" t="s">
        <v>553</v>
      </c>
      <c r="H29" s="141"/>
    </row>
    <row r="30" spans="2:13" ht="15.75" outlineLevel="1" x14ac:dyDescent="0.45">
      <c r="E30" s="135" t="s">
        <v>554</v>
      </c>
      <c r="H30" s="141"/>
      <c r="L30" s="137" t="s">
        <v>568</v>
      </c>
      <c r="M30" s="134"/>
    </row>
    <row r="31" spans="2:13" ht="15.75" outlineLevel="1" x14ac:dyDescent="0.45">
      <c r="E31" s="135"/>
      <c r="H31" s="141"/>
      <c r="L31" s="137" t="s">
        <v>569</v>
      </c>
      <c r="M31" s="134"/>
    </row>
    <row r="32" spans="2:13" ht="15.75" outlineLevel="1" x14ac:dyDescent="0.45">
      <c r="E32" s="135"/>
      <c r="H32" s="141"/>
      <c r="L32" s="137" t="s">
        <v>570</v>
      </c>
      <c r="M32" s="134"/>
    </row>
    <row r="33" spans="5:13" ht="15.75" outlineLevel="1" x14ac:dyDescent="0.45">
      <c r="E33" s="135"/>
      <c r="H33" s="141"/>
      <c r="L33" s="137" t="s">
        <v>571</v>
      </c>
      <c r="M33" s="134"/>
    </row>
    <row r="34" spans="5:13" ht="15.75" outlineLevel="1" x14ac:dyDescent="0.45">
      <c r="E34" s="135"/>
      <c r="H34" s="141"/>
      <c r="L34" s="137" t="s">
        <v>572</v>
      </c>
      <c r="M34" s="134"/>
    </row>
    <row r="35" spans="5:13" ht="15.75" outlineLevel="1" x14ac:dyDescent="0.45">
      <c r="E35" s="135"/>
      <c r="H35" s="141"/>
      <c r="L35" s="137" t="s">
        <v>573</v>
      </c>
      <c r="M35" s="134"/>
    </row>
    <row r="36" spans="5:13" ht="15.75" outlineLevel="1" x14ac:dyDescent="0.45">
      <c r="E36" s="135"/>
      <c r="H36" s="141"/>
      <c r="L36" s="137" t="s">
        <v>574</v>
      </c>
      <c r="M36" s="134"/>
    </row>
    <row r="37" spans="5:13" ht="15.75" outlineLevel="1" x14ac:dyDescent="0.45">
      <c r="E37" s="135"/>
      <c r="H37" s="141"/>
      <c r="L37" s="137" t="s">
        <v>575</v>
      </c>
      <c r="M37" s="134"/>
    </row>
    <row r="38" spans="5:13" ht="15.75" outlineLevel="1" x14ac:dyDescent="0.45">
      <c r="E38" s="135"/>
      <c r="H38" s="141"/>
      <c r="L38" s="137" t="s">
        <v>576</v>
      </c>
      <c r="M38" s="134"/>
    </row>
    <row r="39" spans="5:13" ht="15.75" outlineLevel="1" x14ac:dyDescent="0.45">
      <c r="E39" s="135"/>
      <c r="H39" s="141"/>
      <c r="L39" s="137" t="s">
        <v>577</v>
      </c>
      <c r="M39" s="134"/>
    </row>
    <row r="40" spans="5:13" ht="15.75" outlineLevel="1" x14ac:dyDescent="0.45">
      <c r="E40" s="135"/>
      <c r="H40" s="141"/>
      <c r="L40" s="137" t="s">
        <v>578</v>
      </c>
      <c r="M40" s="134"/>
    </row>
    <row r="41" spans="5:13" ht="15.75" outlineLevel="1" x14ac:dyDescent="0.45">
      <c r="E41" s="135"/>
      <c r="H41" s="141"/>
      <c r="L41" s="137" t="s">
        <v>579</v>
      </c>
      <c r="M41" s="134"/>
    </row>
    <row r="42" spans="5:13" outlineLevel="1" x14ac:dyDescent="0.45">
      <c r="E42" s="135"/>
      <c r="H42" s="141"/>
    </row>
    <row r="43" spans="5:13" outlineLevel="1" x14ac:dyDescent="0.45">
      <c r="E43" s="135"/>
      <c r="H43" s="141"/>
      <c r="L43" s="141"/>
      <c r="M43" s="142"/>
    </row>
    <row r="44" spans="5:13" outlineLevel="1" x14ac:dyDescent="0.45">
      <c r="E44" s="135"/>
      <c r="H44" s="141"/>
      <c r="L44" s="141"/>
      <c r="M44" s="142"/>
    </row>
    <row r="45" spans="5:13" outlineLevel="1" x14ac:dyDescent="0.45">
      <c r="E45" s="135"/>
      <c r="H45" s="141"/>
      <c r="L45" s="141"/>
      <c r="M45" s="142"/>
    </row>
    <row r="46" spans="5:13" outlineLevel="1" x14ac:dyDescent="0.45">
      <c r="H46" s="141"/>
    </row>
    <row r="47" spans="5:13" outlineLevel="1" x14ac:dyDescent="0.45">
      <c r="H47" s="141"/>
    </row>
    <row r="48" spans="5:13" ht="15.75" outlineLevel="1" x14ac:dyDescent="0.45">
      <c r="H48" s="133" t="s">
        <v>580</v>
      </c>
    </row>
    <row r="49" spans="2:13" ht="15.75" outlineLevel="1" x14ac:dyDescent="0.45">
      <c r="H49" s="135" t="s">
        <v>27</v>
      </c>
      <c r="L49" s="137" t="s">
        <v>27</v>
      </c>
      <c r="M49" s="134"/>
    </row>
    <row r="50" spans="2:13" ht="15.75" outlineLevel="1" x14ac:dyDescent="0.45">
      <c r="H50" s="135" t="s">
        <v>581</v>
      </c>
      <c r="L50" s="137" t="s">
        <v>581</v>
      </c>
      <c r="M50" s="134"/>
    </row>
    <row r="51" spans="2:13" ht="15.75" outlineLevel="1" x14ac:dyDescent="0.45">
      <c r="H51" s="135" t="s">
        <v>582</v>
      </c>
      <c r="L51" s="137" t="s">
        <v>582</v>
      </c>
      <c r="M51" s="134"/>
    </row>
    <row r="52" spans="2:13" ht="15.75" outlineLevel="1" x14ac:dyDescent="0.45">
      <c r="H52" s="135" t="s">
        <v>583</v>
      </c>
      <c r="L52" s="137" t="s">
        <v>583</v>
      </c>
      <c r="M52" s="134"/>
    </row>
    <row r="53" spans="2:13" ht="15.75" outlineLevel="1" x14ac:dyDescent="0.45">
      <c r="H53" s="135" t="s">
        <v>584</v>
      </c>
      <c r="L53" s="137" t="s">
        <v>584</v>
      </c>
      <c r="M53" s="134"/>
    </row>
    <row r="54" spans="2:13" outlineLevel="1" x14ac:dyDescent="0.45">
      <c r="H54" s="135" t="s">
        <v>585</v>
      </c>
    </row>
    <row r="55" spans="2:13" outlineLevel="1" x14ac:dyDescent="0.45">
      <c r="H55" s="135"/>
    </row>
    <row r="56" spans="2:13" ht="15.75" outlineLevel="1" x14ac:dyDescent="0.45">
      <c r="H56" s="135"/>
      <c r="L56" s="137" t="s">
        <v>36</v>
      </c>
      <c r="M56" s="134"/>
    </row>
    <row r="57" spans="2:13" outlineLevel="1" x14ac:dyDescent="0.45">
      <c r="H57" s="135"/>
      <c r="L57" s="138" t="s">
        <v>307</v>
      </c>
      <c r="M57" s="139"/>
    </row>
    <row r="58" spans="2:13" outlineLevel="1" x14ac:dyDescent="0.45">
      <c r="H58" s="135"/>
      <c r="L58" s="138" t="s">
        <v>306</v>
      </c>
      <c r="M58" s="139"/>
    </row>
    <row r="59" spans="2:13" outlineLevel="1" x14ac:dyDescent="0.45">
      <c r="H59" s="135"/>
      <c r="L59" s="138" t="s">
        <v>308</v>
      </c>
      <c r="M59" s="139"/>
    </row>
    <row r="60" spans="2:13" outlineLevel="1" x14ac:dyDescent="0.45">
      <c r="H60" s="141"/>
    </row>
    <row r="61" spans="2:13" outlineLevel="1" x14ac:dyDescent="0.45">
      <c r="H61" s="141"/>
    </row>
    <row r="62" spans="2:13" ht="15.75" outlineLevel="1" x14ac:dyDescent="0.45">
      <c r="B62" s="141"/>
      <c r="H62" s="133" t="s">
        <v>586</v>
      </c>
    </row>
    <row r="63" spans="2:13" ht="15.75" outlineLevel="1" x14ac:dyDescent="0.45">
      <c r="H63" s="141"/>
      <c r="L63" s="137" t="s">
        <v>32</v>
      </c>
      <c r="M63" s="134"/>
    </row>
    <row r="64" spans="2:13" ht="15.75" outlineLevel="1" x14ac:dyDescent="0.45">
      <c r="H64" s="141"/>
      <c r="L64" s="137" t="s">
        <v>33</v>
      </c>
      <c r="M64" s="134"/>
    </row>
    <row r="65" spans="8:13" ht="15.75" outlineLevel="1" x14ac:dyDescent="0.45">
      <c r="H65" s="141"/>
      <c r="L65" s="137" t="s">
        <v>76</v>
      </c>
      <c r="M65" s="134"/>
    </row>
    <row r="66" spans="8:13" outlineLevel="1" x14ac:dyDescent="0.45">
      <c r="H66" s="141"/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6001E-4A48-4FC9-836B-1A859A7D93BA}">
  <sheetPr>
    <tabColor rgb="FF7030A0"/>
  </sheetPr>
  <dimension ref="B2:C34"/>
  <sheetViews>
    <sheetView topLeftCell="A11" workbookViewId="0">
      <selection activeCell="B1" sqref="B1:C34"/>
    </sheetView>
  </sheetViews>
  <sheetFormatPr defaultColWidth="8.796875" defaultRowHeight="14.25" x14ac:dyDescent="0.45"/>
  <cols>
    <col min="2" max="2" width="104" customWidth="1"/>
  </cols>
  <sheetData>
    <row r="2" spans="2:3" x14ac:dyDescent="0.45">
      <c r="B2" s="2" t="s">
        <v>210</v>
      </c>
    </row>
    <row r="4" spans="2:3" x14ac:dyDescent="0.45">
      <c r="B4" s="24" t="s">
        <v>198</v>
      </c>
    </row>
    <row r="6" spans="2:3" x14ac:dyDescent="0.45">
      <c r="B6" t="s">
        <v>231</v>
      </c>
    </row>
    <row r="10" spans="2:3" x14ac:dyDescent="0.45">
      <c r="B10" s="2" t="s">
        <v>230</v>
      </c>
      <c r="C10" s="26" t="s">
        <v>232</v>
      </c>
    </row>
    <row r="12" spans="2:3" x14ac:dyDescent="0.45">
      <c r="B12" t="s">
        <v>205</v>
      </c>
    </row>
    <row r="14" spans="2:3" x14ac:dyDescent="0.45">
      <c r="B14" t="s">
        <v>208</v>
      </c>
    </row>
    <row r="16" spans="2:3" x14ac:dyDescent="0.45">
      <c r="B16" s="3" t="s">
        <v>199</v>
      </c>
    </row>
    <row r="17" spans="2:2" x14ac:dyDescent="0.45">
      <c r="B17" s="3"/>
    </row>
    <row r="18" spans="2:2" x14ac:dyDescent="0.45">
      <c r="B18" s="3" t="s">
        <v>200</v>
      </c>
    </row>
    <row r="20" spans="2:2" x14ac:dyDescent="0.45">
      <c r="B20" s="3" t="s">
        <v>203</v>
      </c>
    </row>
    <row r="22" spans="2:2" x14ac:dyDescent="0.45">
      <c r="B22" s="3" t="s">
        <v>201</v>
      </c>
    </row>
    <row r="24" spans="2:2" x14ac:dyDescent="0.45">
      <c r="B24" s="3" t="s">
        <v>204</v>
      </c>
    </row>
    <row r="25" spans="2:2" x14ac:dyDescent="0.45">
      <c r="B25" s="3"/>
    </row>
    <row r="26" spans="2:2" x14ac:dyDescent="0.45">
      <c r="B26" t="s">
        <v>202</v>
      </c>
    </row>
    <row r="28" spans="2:2" x14ac:dyDescent="0.45">
      <c r="B28" t="s">
        <v>206</v>
      </c>
    </row>
    <row r="30" spans="2:2" x14ac:dyDescent="0.45">
      <c r="B30" s="23" t="s">
        <v>207</v>
      </c>
    </row>
    <row r="32" spans="2:2" x14ac:dyDescent="0.45">
      <c r="B32" t="s">
        <v>229</v>
      </c>
    </row>
    <row r="34" spans="2:2" x14ac:dyDescent="0.45">
      <c r="B34" t="s">
        <v>209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DBA3C-231D-44FA-A0FA-66CEE067FD93}">
  <sheetPr>
    <tabColor rgb="FFFFFF00"/>
  </sheetPr>
  <dimension ref="B1:L46"/>
  <sheetViews>
    <sheetView zoomScale="85" zoomScaleNormal="85" workbookViewId="0">
      <selection activeCell="E34" sqref="E34"/>
    </sheetView>
  </sheetViews>
  <sheetFormatPr defaultColWidth="8.796875" defaultRowHeight="14.25" x14ac:dyDescent="0.45"/>
  <cols>
    <col min="2" max="2" width="8.6640625" customWidth="1"/>
    <col min="3" max="3" width="82.33203125" customWidth="1"/>
  </cols>
  <sheetData>
    <row r="1" spans="2:12" s="28" customFormat="1" ht="18" x14ac:dyDescent="0.55000000000000004">
      <c r="B1" s="28" t="s">
        <v>212</v>
      </c>
    </row>
    <row r="2" spans="2:12" x14ac:dyDescent="0.45">
      <c r="B2" s="2"/>
    </row>
    <row r="3" spans="2:12" s="28" customFormat="1" ht="18" x14ac:dyDescent="0.55000000000000004">
      <c r="B3" s="28" t="s">
        <v>211</v>
      </c>
    </row>
    <row r="5" spans="2:12" x14ac:dyDescent="0.45">
      <c r="B5" s="2" t="s">
        <v>214</v>
      </c>
    </row>
    <row r="7" spans="2:12" s="12" customFormat="1" ht="61.5" customHeight="1" x14ac:dyDescent="0.45">
      <c r="B7" s="314" t="s">
        <v>409</v>
      </c>
      <c r="C7" s="314"/>
      <c r="D7" s="314"/>
      <c r="E7" s="314"/>
      <c r="G7" s="115" t="s">
        <v>358</v>
      </c>
      <c r="L7" s="115" t="s">
        <v>359</v>
      </c>
    </row>
    <row r="8" spans="2:12" x14ac:dyDescent="0.45">
      <c r="B8" s="2" t="s">
        <v>215</v>
      </c>
    </row>
    <row r="9" spans="2:12" x14ac:dyDescent="0.45">
      <c r="B9" s="24" t="s">
        <v>216</v>
      </c>
    </row>
    <row r="10" spans="2:12" x14ac:dyDescent="0.45">
      <c r="B10" s="21" t="s">
        <v>219</v>
      </c>
      <c r="C10" t="s">
        <v>217</v>
      </c>
    </row>
    <row r="11" spans="2:12" x14ac:dyDescent="0.45">
      <c r="B11" s="21" t="s">
        <v>220</v>
      </c>
      <c r="C11" t="s">
        <v>218</v>
      </c>
    </row>
    <row r="13" spans="2:12" x14ac:dyDescent="0.45">
      <c r="B13" s="2" t="s">
        <v>222</v>
      </c>
    </row>
    <row r="15" spans="2:12" x14ac:dyDescent="0.45">
      <c r="B15" s="2" t="s">
        <v>221</v>
      </c>
    </row>
    <row r="17" spans="2:2" x14ac:dyDescent="0.45">
      <c r="B17" s="2" t="s">
        <v>223</v>
      </c>
    </row>
    <row r="20" spans="2:2" x14ac:dyDescent="0.45">
      <c r="B20" t="s">
        <v>225</v>
      </c>
    </row>
    <row r="21" spans="2:2" x14ac:dyDescent="0.45">
      <c r="B21" t="s">
        <v>226</v>
      </c>
    </row>
    <row r="22" spans="2:2" x14ac:dyDescent="0.45">
      <c r="B22" t="s">
        <v>224</v>
      </c>
    </row>
    <row r="24" spans="2:2" s="28" customFormat="1" ht="18" x14ac:dyDescent="0.55000000000000004">
      <c r="B24" s="28" t="s">
        <v>213</v>
      </c>
    </row>
    <row r="26" spans="2:2" x14ac:dyDescent="0.45">
      <c r="B26" t="s">
        <v>227</v>
      </c>
    </row>
    <row r="27" spans="2:2" x14ac:dyDescent="0.45">
      <c r="B27" t="s">
        <v>228</v>
      </c>
    </row>
    <row r="37" spans="2:3" x14ac:dyDescent="0.45">
      <c r="C37" t="s">
        <v>47</v>
      </c>
    </row>
    <row r="38" spans="2:3" x14ac:dyDescent="0.45">
      <c r="B38" t="s">
        <v>167</v>
      </c>
    </row>
    <row r="39" spans="2:3" x14ac:dyDescent="0.45">
      <c r="C39" t="s">
        <v>333</v>
      </c>
    </row>
    <row r="41" spans="2:3" x14ac:dyDescent="0.45">
      <c r="B41" t="s">
        <v>334</v>
      </c>
      <c r="C41" t="s">
        <v>335</v>
      </c>
    </row>
    <row r="42" spans="2:3" x14ac:dyDescent="0.45">
      <c r="C42" t="s">
        <v>336</v>
      </c>
    </row>
    <row r="44" spans="2:3" x14ac:dyDescent="0.45">
      <c r="B44" t="s">
        <v>337</v>
      </c>
    </row>
    <row r="46" spans="2:3" x14ac:dyDescent="0.45">
      <c r="B46" t="s">
        <v>338</v>
      </c>
    </row>
  </sheetData>
  <mergeCells count="1">
    <mergeCell ref="B7:E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0220-7E85-4736-94FD-6262AFE82047}">
  <sheetPr>
    <tabColor rgb="FFFF0000"/>
  </sheetPr>
  <dimension ref="A1:M82"/>
  <sheetViews>
    <sheetView topLeftCell="A9" zoomScale="70" zoomScaleNormal="70" workbookViewId="0">
      <selection activeCell="D11" sqref="A1:D11"/>
    </sheetView>
  </sheetViews>
  <sheetFormatPr defaultColWidth="9" defaultRowHeight="14.25" x14ac:dyDescent="0.45"/>
  <cols>
    <col min="1" max="1" width="15.46484375" customWidth="1"/>
    <col min="2" max="2" width="57.796875" customWidth="1"/>
    <col min="3" max="3" width="11.33203125" customWidth="1"/>
    <col min="4" max="4" width="18.1328125" customWidth="1"/>
    <col min="5" max="5" width="11.796875" style="253" customWidth="1"/>
  </cols>
  <sheetData>
    <row r="1" spans="1:10" x14ac:dyDescent="0.45">
      <c r="B1" s="2" t="s">
        <v>781</v>
      </c>
      <c r="C1" s="2"/>
    </row>
    <row r="4" spans="1:10" ht="71.25" x14ac:dyDescent="0.45">
      <c r="B4" s="4" t="s">
        <v>793</v>
      </c>
    </row>
    <row r="5" spans="1:10" x14ac:dyDescent="0.45">
      <c r="B5" s="4"/>
    </row>
    <row r="6" spans="1:10" x14ac:dyDescent="0.45">
      <c r="A6" s="263" t="s">
        <v>790</v>
      </c>
      <c r="B6" s="263" t="s">
        <v>132</v>
      </c>
      <c r="C6" s="263" t="s">
        <v>791</v>
      </c>
    </row>
    <row r="7" spans="1:10" x14ac:dyDescent="0.45">
      <c r="A7" s="39" t="s">
        <v>787</v>
      </c>
      <c r="B7" s="39" t="s">
        <v>794</v>
      </c>
      <c r="C7" s="39" t="s">
        <v>788</v>
      </c>
    </row>
    <row r="8" spans="1:10" x14ac:dyDescent="0.45">
      <c r="A8" s="263" t="s">
        <v>789</v>
      </c>
      <c r="B8" s="39" t="s">
        <v>795</v>
      </c>
      <c r="C8" s="39" t="s">
        <v>788</v>
      </c>
    </row>
    <row r="9" spans="1:10" x14ac:dyDescent="0.45">
      <c r="A9" s="39" t="s">
        <v>774</v>
      </c>
      <c r="B9" s="39" t="s">
        <v>792</v>
      </c>
      <c r="C9" s="39" t="s">
        <v>774</v>
      </c>
    </row>
    <row r="15" spans="1:10" x14ac:dyDescent="0.45">
      <c r="B15" t="s">
        <v>782</v>
      </c>
      <c r="D15" s="254" t="s">
        <v>552</v>
      </c>
      <c r="E15" s="255"/>
      <c r="F15" s="254"/>
      <c r="G15" s="254">
        <v>100</v>
      </c>
      <c r="H15" s="254">
        <v>200</v>
      </c>
      <c r="I15" s="254">
        <v>300</v>
      </c>
      <c r="J15" s="254">
        <v>400</v>
      </c>
    </row>
    <row r="16" spans="1:10" x14ac:dyDescent="0.45">
      <c r="B16" t="s">
        <v>783</v>
      </c>
    </row>
    <row r="17" spans="2:10" x14ac:dyDescent="0.45">
      <c r="B17" t="s">
        <v>784</v>
      </c>
      <c r="D17" s="2" t="s">
        <v>775</v>
      </c>
      <c r="E17" s="256" t="s">
        <v>776</v>
      </c>
      <c r="F17" s="257">
        <v>100</v>
      </c>
      <c r="G17" s="2">
        <v>25</v>
      </c>
      <c r="H17" s="2">
        <v>25</v>
      </c>
      <c r="I17" s="2">
        <v>25</v>
      </c>
      <c r="J17" s="2">
        <v>25</v>
      </c>
    </row>
    <row r="18" spans="2:10" x14ac:dyDescent="0.45">
      <c r="D18" s="3" t="s">
        <v>777</v>
      </c>
      <c r="F18" s="2">
        <v>100</v>
      </c>
      <c r="G18">
        <v>25</v>
      </c>
      <c r="H18">
        <v>25</v>
      </c>
      <c r="I18">
        <v>25</v>
      </c>
      <c r="J18">
        <v>25</v>
      </c>
    </row>
    <row r="19" spans="2:10" x14ac:dyDescent="0.45">
      <c r="D19" s="3"/>
    </row>
    <row r="20" spans="2:10" x14ac:dyDescent="0.45">
      <c r="D20" s="3"/>
    </row>
    <row r="21" spans="2:10" x14ac:dyDescent="0.45">
      <c r="D21" s="3"/>
    </row>
    <row r="24" spans="2:10" x14ac:dyDescent="0.45">
      <c r="G24" t="s">
        <v>773</v>
      </c>
    </row>
    <row r="25" spans="2:10" x14ac:dyDescent="0.45">
      <c r="D25" s="254" t="s">
        <v>552</v>
      </c>
      <c r="E25" s="255"/>
      <c r="F25" s="254"/>
      <c r="G25" s="254">
        <v>100</v>
      </c>
      <c r="H25" s="254">
        <v>100</v>
      </c>
      <c r="I25" s="254">
        <v>100</v>
      </c>
      <c r="J25" s="254">
        <v>100</v>
      </c>
    </row>
    <row r="27" spans="2:10" x14ac:dyDescent="0.45">
      <c r="D27" s="2" t="s">
        <v>775</v>
      </c>
      <c r="E27" s="256">
        <v>0.125</v>
      </c>
      <c r="F27" s="257">
        <v>100</v>
      </c>
      <c r="G27" s="2">
        <f>G28+G29</f>
        <v>37.5</v>
      </c>
      <c r="H27" s="2">
        <f t="shared" ref="H27:J27" si="0">H28+H29</f>
        <v>37.5</v>
      </c>
      <c r="I27" s="2">
        <f t="shared" si="0"/>
        <v>12.5</v>
      </c>
      <c r="J27" s="2">
        <f t="shared" si="0"/>
        <v>12.5</v>
      </c>
    </row>
    <row r="28" spans="2:10" x14ac:dyDescent="0.45">
      <c r="D28" s="3" t="s">
        <v>777</v>
      </c>
      <c r="F28">
        <v>50</v>
      </c>
      <c r="G28">
        <v>12.5</v>
      </c>
      <c r="H28">
        <v>12.5</v>
      </c>
      <c r="I28">
        <v>12.5</v>
      </c>
      <c r="J28">
        <v>12.5</v>
      </c>
    </row>
    <row r="29" spans="2:10" ht="28.5" x14ac:dyDescent="0.45">
      <c r="B29" s="4" t="s">
        <v>785</v>
      </c>
      <c r="D29" s="3" t="s">
        <v>778</v>
      </c>
      <c r="F29">
        <v>50</v>
      </c>
      <c r="G29">
        <v>25</v>
      </c>
      <c r="H29">
        <v>25</v>
      </c>
    </row>
    <row r="30" spans="2:10" x14ac:dyDescent="0.45">
      <c r="B30" t="s">
        <v>786</v>
      </c>
      <c r="D30" s="3"/>
    </row>
    <row r="31" spans="2:10" x14ac:dyDescent="0.45">
      <c r="D31" s="3" t="s">
        <v>774</v>
      </c>
    </row>
    <row r="34" spans="4:13" x14ac:dyDescent="0.45">
      <c r="D34" s="254" t="s">
        <v>552</v>
      </c>
      <c r="E34" s="255"/>
      <c r="F34" s="254"/>
      <c r="G34" s="254">
        <v>100</v>
      </c>
      <c r="H34" s="254">
        <v>100</v>
      </c>
      <c r="I34" s="254">
        <v>100</v>
      </c>
      <c r="J34" s="254">
        <v>100</v>
      </c>
    </row>
    <row r="36" spans="4:13" x14ac:dyDescent="0.45">
      <c r="D36" s="2" t="s">
        <v>775</v>
      </c>
      <c r="E36" s="256">
        <v>0.125</v>
      </c>
      <c r="F36" s="257">
        <v>100</v>
      </c>
      <c r="G36" s="2">
        <f>G37+G38</f>
        <v>37.5</v>
      </c>
      <c r="H36" s="2">
        <f t="shared" ref="H36:J36" si="1">H37+H38</f>
        <v>37.5</v>
      </c>
      <c r="I36" s="2">
        <f t="shared" si="1"/>
        <v>12.5</v>
      </c>
      <c r="J36" s="2">
        <f t="shared" si="1"/>
        <v>12.5</v>
      </c>
    </row>
    <row r="37" spans="4:13" x14ac:dyDescent="0.45">
      <c r="D37" s="3" t="s">
        <v>777</v>
      </c>
      <c r="F37">
        <v>50</v>
      </c>
      <c r="G37">
        <v>12.5</v>
      </c>
      <c r="H37">
        <v>12.5</v>
      </c>
      <c r="I37">
        <v>12.5</v>
      </c>
      <c r="J37">
        <v>12.5</v>
      </c>
    </row>
    <row r="38" spans="4:13" x14ac:dyDescent="0.45">
      <c r="D38" s="3" t="s">
        <v>778</v>
      </c>
      <c r="F38">
        <v>50</v>
      </c>
      <c r="G38">
        <v>25</v>
      </c>
      <c r="H38">
        <v>25</v>
      </c>
    </row>
    <row r="39" spans="4:13" x14ac:dyDescent="0.45">
      <c r="D39" s="3"/>
    </row>
    <row r="40" spans="4:13" x14ac:dyDescent="0.45">
      <c r="D40" s="3" t="s">
        <v>774</v>
      </c>
      <c r="F40">
        <v>10</v>
      </c>
      <c r="G40">
        <f>7+3</f>
        <v>10</v>
      </c>
    </row>
    <row r="43" spans="4:13" x14ac:dyDescent="0.45">
      <c r="D43" s="254" t="s">
        <v>552</v>
      </c>
      <c r="E43" s="255"/>
      <c r="F43" s="254"/>
      <c r="G43" s="254">
        <v>100</v>
      </c>
      <c r="H43" s="254">
        <v>100</v>
      </c>
      <c r="I43" s="254">
        <v>100</v>
      </c>
      <c r="J43" s="254">
        <v>100</v>
      </c>
      <c r="M43" s="258">
        <v>0.221</v>
      </c>
    </row>
    <row r="45" spans="4:13" x14ac:dyDescent="0.45">
      <c r="D45" s="2" t="s">
        <v>775</v>
      </c>
      <c r="E45" s="256">
        <v>0.125</v>
      </c>
      <c r="F45" s="257">
        <v>100</v>
      </c>
      <c r="G45" s="2">
        <f>G46+G47+G49</f>
        <v>10</v>
      </c>
      <c r="H45" s="2">
        <f t="shared" ref="H45:J45" si="2">H46+H47+H49</f>
        <v>47</v>
      </c>
      <c r="I45" s="2">
        <f t="shared" si="2"/>
        <v>22</v>
      </c>
      <c r="J45" s="2">
        <f t="shared" si="2"/>
        <v>22</v>
      </c>
    </row>
    <row r="46" spans="4:13" x14ac:dyDescent="0.45">
      <c r="D46" s="3" t="s">
        <v>777</v>
      </c>
      <c r="F46">
        <v>66</v>
      </c>
      <c r="H46">
        <v>22</v>
      </c>
      <c r="I46">
        <v>22</v>
      </c>
      <c r="J46">
        <v>22</v>
      </c>
      <c r="M46" s="2" t="s">
        <v>779</v>
      </c>
    </row>
    <row r="47" spans="4:13" x14ac:dyDescent="0.45">
      <c r="D47" s="3" t="s">
        <v>778</v>
      </c>
      <c r="F47">
        <v>25</v>
      </c>
      <c r="H47">
        <v>25</v>
      </c>
    </row>
    <row r="48" spans="4:13" x14ac:dyDescent="0.45">
      <c r="D48" s="3"/>
    </row>
    <row r="49" spans="4:13" x14ac:dyDescent="0.45">
      <c r="D49" s="3" t="s">
        <v>774</v>
      </c>
      <c r="F49" s="2">
        <v>10</v>
      </c>
      <c r="G49" s="2">
        <f>7+3</f>
        <v>10</v>
      </c>
    </row>
    <row r="53" spans="4:13" x14ac:dyDescent="0.45">
      <c r="D53" s="254" t="s">
        <v>552</v>
      </c>
      <c r="E53" s="255"/>
      <c r="F53" s="254"/>
      <c r="G53" s="254">
        <v>100</v>
      </c>
      <c r="H53" s="254">
        <v>100</v>
      </c>
      <c r="I53" s="254">
        <v>100</v>
      </c>
      <c r="J53" s="254">
        <v>100</v>
      </c>
    </row>
    <row r="55" spans="4:13" x14ac:dyDescent="0.45">
      <c r="D55" s="2" t="s">
        <v>775</v>
      </c>
      <c r="E55" s="256">
        <v>0.125</v>
      </c>
      <c r="F55" s="257">
        <v>72.5</v>
      </c>
      <c r="G55" s="2">
        <f>G56+G57+G59</f>
        <v>10</v>
      </c>
      <c r="H55" s="259">
        <f t="shared" ref="H55:J55" si="3">H56+H57+H59</f>
        <v>37.5</v>
      </c>
      <c r="I55" s="208">
        <f t="shared" si="3"/>
        <v>12.5</v>
      </c>
      <c r="J55" s="259">
        <f t="shared" si="3"/>
        <v>12.5</v>
      </c>
      <c r="M55" s="2" t="s">
        <v>780</v>
      </c>
    </row>
    <row r="56" spans="4:13" x14ac:dyDescent="0.45">
      <c r="D56" s="3" t="s">
        <v>777</v>
      </c>
      <c r="F56">
        <v>66</v>
      </c>
      <c r="H56" s="260">
        <v>12.5</v>
      </c>
      <c r="I56" s="182">
        <v>12.5</v>
      </c>
      <c r="J56" s="260">
        <v>12.5</v>
      </c>
    </row>
    <row r="57" spans="4:13" x14ac:dyDescent="0.45">
      <c r="D57" s="3" t="s">
        <v>778</v>
      </c>
      <c r="F57">
        <v>25</v>
      </c>
      <c r="H57" s="260">
        <v>25</v>
      </c>
      <c r="I57" s="182"/>
      <c r="J57" s="260"/>
    </row>
    <row r="58" spans="4:13" x14ac:dyDescent="0.45">
      <c r="D58" s="3"/>
      <c r="H58" s="260"/>
      <c r="I58" s="182"/>
      <c r="J58" s="260"/>
    </row>
    <row r="59" spans="4:13" x14ac:dyDescent="0.45">
      <c r="D59" s="3" t="s">
        <v>774</v>
      </c>
      <c r="F59" s="2">
        <v>10</v>
      </c>
      <c r="G59" s="2">
        <f>7+3</f>
        <v>10</v>
      </c>
      <c r="H59" s="260"/>
      <c r="I59" s="182"/>
      <c r="J59" s="260"/>
    </row>
    <row r="68" spans="2:12" x14ac:dyDescent="0.45">
      <c r="G68" t="s">
        <v>773</v>
      </c>
    </row>
    <row r="69" spans="2:12" x14ac:dyDescent="0.45">
      <c r="D69" s="254" t="s">
        <v>552</v>
      </c>
      <c r="E69" s="255"/>
      <c r="F69" s="254">
        <v>200</v>
      </c>
      <c r="G69" s="254">
        <v>100</v>
      </c>
      <c r="H69" s="254">
        <v>100</v>
      </c>
      <c r="I69" s="254"/>
      <c r="J69" s="254"/>
    </row>
    <row r="70" spans="2:12" x14ac:dyDescent="0.45">
      <c r="G70" s="56">
        <v>0.1</v>
      </c>
      <c r="H70" s="56">
        <v>0.1</v>
      </c>
    </row>
    <row r="71" spans="2:12" x14ac:dyDescent="0.45">
      <c r="D71" s="2" t="s">
        <v>278</v>
      </c>
      <c r="E71" s="256">
        <v>0.1</v>
      </c>
      <c r="F71" s="257">
        <v>20</v>
      </c>
      <c r="G71" s="2">
        <v>10</v>
      </c>
      <c r="H71" s="2">
        <v>10</v>
      </c>
      <c r="I71" s="2"/>
      <c r="J71" s="2"/>
    </row>
    <row r="72" spans="2:12" x14ac:dyDescent="0.45">
      <c r="D72" s="3" t="s">
        <v>777</v>
      </c>
      <c r="F72">
        <v>20</v>
      </c>
      <c r="G72">
        <v>10</v>
      </c>
      <c r="H72">
        <v>10</v>
      </c>
    </row>
    <row r="73" spans="2:12" x14ac:dyDescent="0.45">
      <c r="D73" s="3" t="s">
        <v>778</v>
      </c>
    </row>
    <row r="74" spans="2:12" x14ac:dyDescent="0.45">
      <c r="D74" s="3"/>
    </row>
    <row r="75" spans="2:12" x14ac:dyDescent="0.45">
      <c r="D75" s="3"/>
    </row>
    <row r="76" spans="2:12" x14ac:dyDescent="0.45">
      <c r="D76" s="3"/>
    </row>
    <row r="77" spans="2:12" x14ac:dyDescent="0.45">
      <c r="D77" s="254" t="s">
        <v>552</v>
      </c>
      <c r="E77" s="255"/>
      <c r="F77" s="254">
        <v>200</v>
      </c>
      <c r="G77" s="254">
        <v>50</v>
      </c>
      <c r="H77" s="254">
        <v>100</v>
      </c>
      <c r="I77" s="2">
        <v>50</v>
      </c>
    </row>
    <row r="78" spans="2:12" x14ac:dyDescent="0.45">
      <c r="D78" s="3"/>
    </row>
    <row r="79" spans="2:12" x14ac:dyDescent="0.45">
      <c r="D79" s="2" t="s">
        <v>278</v>
      </c>
      <c r="E79" s="256">
        <v>0.1</v>
      </c>
      <c r="F79" s="257">
        <v>20</v>
      </c>
      <c r="G79" s="2">
        <v>10</v>
      </c>
      <c r="H79" s="2">
        <v>10</v>
      </c>
      <c r="L79" s="261">
        <f>I80/I77</f>
        <v>0.12</v>
      </c>
    </row>
    <row r="80" spans="2:12" x14ac:dyDescent="0.45">
      <c r="B80" s="262"/>
      <c r="D80" s="3" t="s">
        <v>777</v>
      </c>
      <c r="F80">
        <v>20</v>
      </c>
      <c r="H80">
        <v>12</v>
      </c>
      <c r="I80">
        <v>6</v>
      </c>
      <c r="L80" t="s">
        <v>779</v>
      </c>
    </row>
    <row r="81" spans="4:7" x14ac:dyDescent="0.45">
      <c r="D81" s="3" t="s">
        <v>778</v>
      </c>
    </row>
    <row r="82" spans="4:7" x14ac:dyDescent="0.45">
      <c r="D82" s="3" t="s">
        <v>774</v>
      </c>
      <c r="G82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902D7-30C1-4B77-909A-2E59AD70C454}">
  <sheetPr>
    <tabColor rgb="FFFF0000"/>
  </sheetPr>
  <dimension ref="B1:J42"/>
  <sheetViews>
    <sheetView workbookViewId="0">
      <selection activeCell="D9" sqref="D9"/>
    </sheetView>
  </sheetViews>
  <sheetFormatPr defaultColWidth="8.796875" defaultRowHeight="14.25" x14ac:dyDescent="0.45"/>
  <cols>
    <col min="2" max="2" width="5.1328125" customWidth="1"/>
    <col min="3" max="3" width="30" customWidth="1"/>
    <col min="4" max="4" width="27.53125" customWidth="1"/>
  </cols>
  <sheetData>
    <row r="1" spans="2:4" ht="15.75" x14ac:dyDescent="0.5">
      <c r="B1" s="87" t="s">
        <v>716</v>
      </c>
    </row>
    <row r="2" spans="2:4" x14ac:dyDescent="0.45">
      <c r="B2" s="2"/>
    </row>
    <row r="3" spans="2:4" x14ac:dyDescent="0.45">
      <c r="B3" s="2" t="s">
        <v>764</v>
      </c>
    </row>
    <row r="5" spans="2:4" x14ac:dyDescent="0.45">
      <c r="B5" t="s">
        <v>706</v>
      </c>
      <c r="C5" s="2" t="s">
        <v>704</v>
      </c>
    </row>
    <row r="6" spans="2:4" x14ac:dyDescent="0.45">
      <c r="C6" s="24" t="s">
        <v>702</v>
      </c>
      <c r="D6" t="s">
        <v>720</v>
      </c>
    </row>
    <row r="7" spans="2:4" x14ac:dyDescent="0.45">
      <c r="C7" s="24" t="s">
        <v>508</v>
      </c>
      <c r="D7" t="s">
        <v>719</v>
      </c>
    </row>
    <row r="8" spans="2:4" x14ac:dyDescent="0.45">
      <c r="C8" s="24" t="s">
        <v>703</v>
      </c>
      <c r="D8" t="s">
        <v>717</v>
      </c>
    </row>
    <row r="9" spans="2:4" x14ac:dyDescent="0.45">
      <c r="C9" t="s">
        <v>509</v>
      </c>
      <c r="D9" t="s">
        <v>718</v>
      </c>
    </row>
    <row r="11" spans="2:4" ht="15.5" customHeight="1" x14ac:dyDescent="0.45">
      <c r="B11" t="s">
        <v>707</v>
      </c>
      <c r="C11" s="2" t="s">
        <v>705</v>
      </c>
    </row>
    <row r="12" spans="2:4" x14ac:dyDescent="0.45">
      <c r="B12" s="93" t="s">
        <v>1</v>
      </c>
      <c r="C12" t="s">
        <v>0</v>
      </c>
    </row>
    <row r="13" spans="2:4" x14ac:dyDescent="0.45">
      <c r="B13" s="93" t="s">
        <v>49</v>
      </c>
      <c r="C13" t="s">
        <v>93</v>
      </c>
    </row>
    <row r="14" spans="2:4" x14ac:dyDescent="0.45">
      <c r="B14" s="93" t="s">
        <v>19</v>
      </c>
      <c r="C14" t="s">
        <v>50</v>
      </c>
    </row>
    <row r="15" spans="2:4" x14ac:dyDescent="0.45">
      <c r="B15" s="93" t="s">
        <v>20</v>
      </c>
      <c r="C15" t="s">
        <v>47</v>
      </c>
    </row>
    <row r="16" spans="2:4" x14ac:dyDescent="0.45">
      <c r="B16" s="93" t="s">
        <v>24</v>
      </c>
      <c r="C16" t="s">
        <v>22</v>
      </c>
    </row>
    <row r="17" spans="2:10" x14ac:dyDescent="0.45">
      <c r="B17" s="93" t="s">
        <v>25</v>
      </c>
      <c r="C17" t="s">
        <v>38</v>
      </c>
    </row>
    <row r="18" spans="2:10" x14ac:dyDescent="0.45">
      <c r="B18" s="93" t="s">
        <v>26</v>
      </c>
      <c r="C18" t="s">
        <v>94</v>
      </c>
    </row>
    <row r="19" spans="2:10" x14ac:dyDescent="0.45">
      <c r="B19" s="93" t="s">
        <v>35</v>
      </c>
      <c r="C19" t="s">
        <v>27</v>
      </c>
    </row>
    <row r="20" spans="2:10" x14ac:dyDescent="0.45">
      <c r="B20" s="93" t="s">
        <v>37</v>
      </c>
      <c r="C20" t="s">
        <v>36</v>
      </c>
    </row>
    <row r="21" spans="2:10" x14ac:dyDescent="0.45">
      <c r="B21" s="93" t="s">
        <v>48</v>
      </c>
      <c r="C21" t="s">
        <v>187</v>
      </c>
    </row>
    <row r="25" spans="2:10" x14ac:dyDescent="0.45">
      <c r="C25" t="s">
        <v>763</v>
      </c>
    </row>
    <row r="26" spans="2:10" s="251" customFormat="1" ht="26.75" customHeight="1" x14ac:dyDescent="0.45">
      <c r="C26" s="252" t="s">
        <v>760</v>
      </c>
      <c r="F26" s="252" t="s">
        <v>762</v>
      </c>
      <c r="J26" s="252" t="s">
        <v>761</v>
      </c>
    </row>
    <row r="27" spans="2:10" x14ac:dyDescent="0.45">
      <c r="B27">
        <v>1</v>
      </c>
      <c r="C27" t="s">
        <v>722</v>
      </c>
    </row>
    <row r="28" spans="2:10" x14ac:dyDescent="0.45">
      <c r="B28">
        <v>2</v>
      </c>
      <c r="C28" s="2" t="s">
        <v>725</v>
      </c>
      <c r="D28" t="s">
        <v>727</v>
      </c>
    </row>
    <row r="29" spans="2:10" x14ac:dyDescent="0.45">
      <c r="B29">
        <v>3</v>
      </c>
      <c r="C29" t="s">
        <v>723</v>
      </c>
      <c r="D29" t="s">
        <v>726</v>
      </c>
    </row>
    <row r="30" spans="2:10" x14ac:dyDescent="0.45">
      <c r="B30">
        <v>4</v>
      </c>
      <c r="C30" s="2" t="s">
        <v>721</v>
      </c>
    </row>
    <row r="31" spans="2:10" x14ac:dyDescent="0.45">
      <c r="B31">
        <v>5</v>
      </c>
      <c r="C31" t="s">
        <v>724</v>
      </c>
    </row>
    <row r="32" spans="2:10" x14ac:dyDescent="0.45">
      <c r="B32">
        <v>6</v>
      </c>
    </row>
    <row r="35" spans="3:3" x14ac:dyDescent="0.45">
      <c r="C35" t="s">
        <v>765</v>
      </c>
    </row>
    <row r="36" spans="3:3" x14ac:dyDescent="0.45">
      <c r="C36" t="s">
        <v>766</v>
      </c>
    </row>
    <row r="37" spans="3:3" x14ac:dyDescent="0.45">
      <c r="C37" t="s">
        <v>767</v>
      </c>
    </row>
    <row r="38" spans="3:3" x14ac:dyDescent="0.45">
      <c r="C38" t="s">
        <v>768</v>
      </c>
    </row>
    <row r="39" spans="3:3" x14ac:dyDescent="0.45">
      <c r="C39" t="s">
        <v>769</v>
      </c>
    </row>
    <row r="40" spans="3:3" x14ac:dyDescent="0.45">
      <c r="C40" t="s">
        <v>770</v>
      </c>
    </row>
    <row r="42" spans="3:3" x14ac:dyDescent="0.45">
      <c r="C42" t="s">
        <v>771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AB5B-25A5-4883-931A-1D7069E32240}">
  <sheetPr>
    <tabColor rgb="FFFFFF00"/>
  </sheetPr>
  <dimension ref="B2:E26"/>
  <sheetViews>
    <sheetView zoomScale="85" zoomScaleNormal="85" workbookViewId="0">
      <selection activeCell="B4" sqref="B4:E4"/>
    </sheetView>
  </sheetViews>
  <sheetFormatPr defaultColWidth="8.796875" defaultRowHeight="14.25" x14ac:dyDescent="0.45"/>
  <cols>
    <col min="3" max="3" width="21.6640625" customWidth="1"/>
    <col min="4" max="4" width="29.33203125" customWidth="1"/>
    <col min="5" max="5" width="16.1328125" customWidth="1"/>
  </cols>
  <sheetData>
    <row r="2" spans="2:5" x14ac:dyDescent="0.45">
      <c r="B2" s="13" t="s">
        <v>78</v>
      </c>
    </row>
    <row r="3" spans="2:5" x14ac:dyDescent="0.45">
      <c r="E3" t="s">
        <v>75</v>
      </c>
    </row>
    <row r="4" spans="2:5" x14ac:dyDescent="0.45">
      <c r="B4" s="336" t="s">
        <v>18</v>
      </c>
      <c r="C4" s="336" t="s">
        <v>43</v>
      </c>
      <c r="D4" s="336" t="s">
        <v>101</v>
      </c>
      <c r="E4" s="336" t="s">
        <v>74</v>
      </c>
    </row>
    <row r="5" spans="2:5" x14ac:dyDescent="0.45">
      <c r="B5" s="1" t="s">
        <v>1</v>
      </c>
      <c r="C5" t="s">
        <v>0</v>
      </c>
    </row>
    <row r="6" spans="2:5" x14ac:dyDescent="0.45">
      <c r="B6" s="1" t="s">
        <v>19</v>
      </c>
      <c r="C6" t="s">
        <v>50</v>
      </c>
    </row>
    <row r="7" spans="2:5" x14ac:dyDescent="0.45">
      <c r="B7" s="1" t="s">
        <v>20</v>
      </c>
      <c r="C7" t="s">
        <v>47</v>
      </c>
    </row>
    <row r="8" spans="2:5" x14ac:dyDescent="0.45">
      <c r="B8" s="1" t="s">
        <v>24</v>
      </c>
      <c r="C8" t="s">
        <v>22</v>
      </c>
    </row>
    <row r="9" spans="2:5" x14ac:dyDescent="0.45">
      <c r="B9" s="1" t="s">
        <v>25</v>
      </c>
      <c r="C9" t="s">
        <v>38</v>
      </c>
    </row>
    <row r="10" spans="2:5" x14ac:dyDescent="0.45">
      <c r="B10" s="1" t="s">
        <v>26</v>
      </c>
      <c r="C10" t="s">
        <v>94</v>
      </c>
    </row>
    <row r="11" spans="2:5" x14ac:dyDescent="0.45">
      <c r="B11" s="1" t="s">
        <v>35</v>
      </c>
      <c r="C11" t="s">
        <v>27</v>
      </c>
    </row>
    <row r="12" spans="2:5" x14ac:dyDescent="0.45">
      <c r="B12" s="1" t="s">
        <v>37</v>
      </c>
      <c r="C12" t="s">
        <v>36</v>
      </c>
    </row>
    <row r="13" spans="2:5" x14ac:dyDescent="0.45">
      <c r="B13" s="1" t="s">
        <v>48</v>
      </c>
      <c r="C13" t="s">
        <v>187</v>
      </c>
    </row>
    <row r="14" spans="2:5" x14ac:dyDescent="0.45">
      <c r="B14" s="1" t="s">
        <v>49</v>
      </c>
      <c r="C14" t="s">
        <v>93</v>
      </c>
    </row>
    <row r="15" spans="2:5" x14ac:dyDescent="0.45">
      <c r="B15" s="1"/>
    </row>
    <row r="16" spans="2:5" x14ac:dyDescent="0.45">
      <c r="B16" s="1" t="s">
        <v>281</v>
      </c>
      <c r="C16" t="s">
        <v>31</v>
      </c>
      <c r="D16" t="s">
        <v>102</v>
      </c>
    </row>
    <row r="17" spans="2:4" x14ac:dyDescent="0.45">
      <c r="B17" s="1" t="s">
        <v>282</v>
      </c>
      <c r="C17" s="3" t="s">
        <v>291</v>
      </c>
      <c r="D17" t="s">
        <v>103</v>
      </c>
    </row>
    <row r="18" spans="2:4" x14ac:dyDescent="0.45">
      <c r="B18" s="1" t="s">
        <v>283</v>
      </c>
      <c r="C18" s="3" t="s">
        <v>290</v>
      </c>
      <c r="D18" t="s">
        <v>103</v>
      </c>
    </row>
    <row r="19" spans="2:4" x14ac:dyDescent="0.45">
      <c r="B19" s="1" t="s">
        <v>284</v>
      </c>
      <c r="C19" s="3" t="s">
        <v>32</v>
      </c>
      <c r="D19" t="s">
        <v>103</v>
      </c>
    </row>
    <row r="20" spans="2:4" x14ac:dyDescent="0.45">
      <c r="B20" s="1" t="s">
        <v>285</v>
      </c>
      <c r="C20" s="3" t="s">
        <v>33</v>
      </c>
      <c r="D20" t="s">
        <v>103</v>
      </c>
    </row>
    <row r="21" spans="2:4" x14ac:dyDescent="0.45">
      <c r="B21" s="1" t="s">
        <v>286</v>
      </c>
      <c r="C21" s="3" t="s">
        <v>76</v>
      </c>
      <c r="D21" t="s">
        <v>103</v>
      </c>
    </row>
    <row r="22" spans="2:4" x14ac:dyDescent="0.45">
      <c r="B22" s="1" t="s">
        <v>287</v>
      </c>
      <c r="C22" s="3" t="s">
        <v>36</v>
      </c>
      <c r="D22" t="s">
        <v>103</v>
      </c>
    </row>
    <row r="23" spans="2:4" x14ac:dyDescent="0.45">
      <c r="B23" s="1" t="s">
        <v>288</v>
      </c>
      <c r="C23" s="3" t="s">
        <v>34</v>
      </c>
      <c r="D23" t="s">
        <v>103</v>
      </c>
    </row>
    <row r="24" spans="2:4" x14ac:dyDescent="0.45">
      <c r="B24" s="1" t="s">
        <v>289</v>
      </c>
    </row>
    <row r="25" spans="2:4" x14ac:dyDescent="0.45">
      <c r="B25" s="1" t="s">
        <v>893</v>
      </c>
    </row>
    <row r="26" spans="2:4" x14ac:dyDescent="0.45">
      <c r="B26" s="1" t="s">
        <v>894</v>
      </c>
      <c r="C26" s="23" t="s">
        <v>895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C6C8-80E8-47CA-B3CA-20621512528F}">
  <sheetPr>
    <tabColor rgb="FFFFFF00"/>
  </sheetPr>
  <dimension ref="A1:X129"/>
  <sheetViews>
    <sheetView topLeftCell="G1" zoomScale="70" zoomScaleNormal="70" workbookViewId="0">
      <pane ySplit="2" topLeftCell="A3" activePane="bottomLeft" state="frozen"/>
      <selection pane="bottomLeft" activeCell="S1" sqref="N1:S2"/>
    </sheetView>
  </sheetViews>
  <sheetFormatPr defaultColWidth="8.796875" defaultRowHeight="14.25" outlineLevelRow="1" outlineLevelCol="1" x14ac:dyDescent="0.45"/>
  <cols>
    <col min="1" max="1" width="8.1328125" customWidth="1"/>
    <col min="2" max="2" width="6.1328125" customWidth="1"/>
    <col min="3" max="3" width="19.46484375" customWidth="1"/>
    <col min="4" max="4" width="2.46484375" style="4" customWidth="1"/>
    <col min="5" max="5" width="9.796875" customWidth="1"/>
    <col min="6" max="6" width="13.796875" customWidth="1"/>
    <col min="7" max="7" width="29" customWidth="1"/>
    <col min="8" max="8" width="6.33203125" customWidth="1"/>
    <col min="9" max="9" width="19" customWidth="1"/>
    <col min="10" max="10" width="7.46484375" customWidth="1"/>
    <col min="11" max="11" width="19.6640625" customWidth="1"/>
    <col min="12" max="12" width="21.46484375" customWidth="1"/>
    <col min="13" max="13" width="10.33203125" customWidth="1"/>
    <col min="14" max="14" width="9.33203125" style="62" customWidth="1"/>
    <col min="15" max="15" width="10.33203125" style="116" customWidth="1"/>
    <col min="16" max="16" width="12.33203125" customWidth="1"/>
    <col min="17" max="17" width="14.1328125" style="64" customWidth="1"/>
    <col min="20" max="20" width="9.6640625" style="80" customWidth="1"/>
    <col min="21" max="22" width="9" style="80"/>
    <col min="23" max="23" width="23.6640625" customWidth="1" outlineLevel="1"/>
    <col min="24" max="24" width="19.6640625" customWidth="1" outlineLevel="1"/>
  </cols>
  <sheetData>
    <row r="1" spans="1:24" s="82" customFormat="1" ht="15.75" x14ac:dyDescent="0.5">
      <c r="C1" s="83" t="s">
        <v>425</v>
      </c>
      <c r="D1" s="84"/>
      <c r="K1" s="85"/>
      <c r="L1" s="33" t="s">
        <v>432</v>
      </c>
      <c r="N1" s="348" t="s">
        <v>424</v>
      </c>
      <c r="O1" s="349"/>
      <c r="P1" s="350"/>
      <c r="Q1" s="351"/>
      <c r="R1" s="342" t="s">
        <v>545</v>
      </c>
      <c r="S1" s="342" t="s">
        <v>546</v>
      </c>
      <c r="T1" s="86" t="s">
        <v>427</v>
      </c>
      <c r="U1" s="86" t="s">
        <v>428</v>
      </c>
      <c r="V1" s="86" t="s">
        <v>430</v>
      </c>
    </row>
    <row r="2" spans="1:24" s="82" customFormat="1" ht="58.5" customHeight="1" x14ac:dyDescent="0.5">
      <c r="A2" s="342" t="s">
        <v>442</v>
      </c>
      <c r="B2" s="343" t="s">
        <v>28</v>
      </c>
      <c r="C2" s="343"/>
      <c r="D2" s="344"/>
      <c r="E2" s="343" t="s">
        <v>127</v>
      </c>
      <c r="F2" s="343"/>
      <c r="G2" s="343" t="s">
        <v>44</v>
      </c>
      <c r="H2" s="343"/>
      <c r="I2" s="343" t="s">
        <v>45</v>
      </c>
      <c r="J2" s="343" t="s">
        <v>29</v>
      </c>
      <c r="K2" s="343" t="s">
        <v>71</v>
      </c>
      <c r="L2" s="343" t="s">
        <v>30</v>
      </c>
      <c r="M2" s="343" t="s">
        <v>60</v>
      </c>
      <c r="N2" s="345" t="s">
        <v>254</v>
      </c>
      <c r="O2" s="346" t="s">
        <v>255</v>
      </c>
      <c r="P2" s="342" t="s">
        <v>256</v>
      </c>
      <c r="Q2" s="347" t="s">
        <v>433</v>
      </c>
      <c r="R2" s="342"/>
      <c r="S2" s="343" t="s">
        <v>426</v>
      </c>
      <c r="T2" s="88"/>
      <c r="U2" s="88"/>
      <c r="V2" s="88"/>
      <c r="W2" s="87" t="s">
        <v>500</v>
      </c>
      <c r="X2" s="87" t="s">
        <v>73</v>
      </c>
    </row>
    <row r="3" spans="1:24" s="6" customFormat="1" ht="15.5" customHeight="1" x14ac:dyDescent="0.45">
      <c r="A3" s="6" t="str">
        <f t="shared" ref="A3:A63" si="0">B3&amp;"-"&amp;F3</f>
        <v>00-01</v>
      </c>
      <c r="B3" s="5" t="s">
        <v>1</v>
      </c>
      <c r="C3" s="6" t="str">
        <f>VLOOKUP(B3,ГПок!$B:$E,2,0)</f>
        <v>ТЭП</v>
      </c>
      <c r="D3" s="12">
        <v>0</v>
      </c>
      <c r="E3" s="6" t="s">
        <v>152</v>
      </c>
      <c r="F3" s="5" t="s">
        <v>19</v>
      </c>
      <c r="G3" s="6" t="s">
        <v>57</v>
      </c>
      <c r="I3" s="14" t="s">
        <v>437</v>
      </c>
      <c r="J3" s="6" t="s">
        <v>54</v>
      </c>
      <c r="K3" s="6" t="s">
        <v>72</v>
      </c>
      <c r="L3" s="6" t="s">
        <v>440</v>
      </c>
      <c r="M3" s="6" t="s">
        <v>69</v>
      </c>
      <c r="N3" s="69"/>
      <c r="O3" s="116" t="s">
        <v>423</v>
      </c>
      <c r="Q3" s="70" t="s">
        <v>441</v>
      </c>
      <c r="R3" s="6" t="s">
        <v>273</v>
      </c>
      <c r="T3" s="78" t="s">
        <v>429</v>
      </c>
      <c r="U3" s="78"/>
      <c r="V3" s="78"/>
      <c r="W3" s="7" t="s">
        <v>96</v>
      </c>
    </row>
    <row r="4" spans="1:24" s="6" customFormat="1" ht="15.5" customHeight="1" outlineLevel="1" x14ac:dyDescent="0.45">
      <c r="B4" s="5" t="s">
        <v>1</v>
      </c>
      <c r="C4" s="6" t="str">
        <f>VLOOKUP(B4,ГПок!$B:$E,2,0)</f>
        <v>ТЭП</v>
      </c>
      <c r="D4" s="12"/>
      <c r="F4" s="5"/>
      <c r="I4" s="6" t="s">
        <v>435</v>
      </c>
      <c r="N4" s="69"/>
      <c r="O4" s="116"/>
      <c r="Q4" s="70"/>
      <c r="T4" s="78"/>
      <c r="U4" s="78"/>
      <c r="V4" s="78"/>
      <c r="W4" s="7"/>
    </row>
    <row r="5" spans="1:24" s="6" customFormat="1" ht="15.5" customHeight="1" outlineLevel="1" x14ac:dyDescent="0.45">
      <c r="B5" s="5" t="s">
        <v>1</v>
      </c>
      <c r="C5" s="6" t="str">
        <f>VLOOKUP(B5,ГПок!$B:$E,2,0)</f>
        <v>ТЭП</v>
      </c>
      <c r="D5" s="12"/>
      <c r="F5" s="5"/>
      <c r="I5" s="6" t="s">
        <v>436</v>
      </c>
      <c r="N5" s="69"/>
      <c r="O5" s="116"/>
      <c r="Q5" s="70"/>
      <c r="T5" s="78"/>
      <c r="U5" s="78"/>
      <c r="V5" s="78"/>
      <c r="W5" s="7"/>
    </row>
    <row r="6" spans="1:24" s="6" customFormat="1" ht="15.5" customHeight="1" outlineLevel="1" x14ac:dyDescent="0.45">
      <c r="B6" s="5" t="s">
        <v>1</v>
      </c>
      <c r="C6" s="6" t="str">
        <f>VLOOKUP(B6,ГПок!$B:$E,2,0)</f>
        <v>ТЭП</v>
      </c>
      <c r="D6" s="12"/>
      <c r="F6" s="5"/>
      <c r="I6" s="6" t="s">
        <v>161</v>
      </c>
      <c r="N6" s="69"/>
      <c r="O6" s="116"/>
      <c r="Q6" s="70"/>
      <c r="T6" s="78"/>
      <c r="U6" s="78"/>
      <c r="V6" s="78"/>
      <c r="W6" s="7"/>
    </row>
    <row r="7" spans="1:24" s="9" customFormat="1" x14ac:dyDescent="0.45">
      <c r="A7" s="6" t="str">
        <f t="shared" si="0"/>
        <v>00-02</v>
      </c>
      <c r="B7" s="8" t="s">
        <v>1</v>
      </c>
      <c r="C7" s="9" t="str">
        <f>VLOOKUP(B7,ГПок!$B:$E,2,0)</f>
        <v>ТЭП</v>
      </c>
      <c r="D7" s="12">
        <v>0</v>
      </c>
      <c r="E7" s="6" t="s">
        <v>152</v>
      </c>
      <c r="F7" s="8" t="s">
        <v>20</v>
      </c>
      <c r="G7" s="9" t="s">
        <v>58</v>
      </c>
      <c r="J7" s="9" t="s">
        <v>55</v>
      </c>
      <c r="K7" s="6" t="s">
        <v>72</v>
      </c>
      <c r="L7" s="9" t="s">
        <v>434</v>
      </c>
      <c r="N7" s="69"/>
      <c r="O7" s="116" t="s">
        <v>423</v>
      </c>
      <c r="Q7" s="72"/>
      <c r="T7" s="79"/>
      <c r="U7" s="79"/>
      <c r="V7" s="79"/>
      <c r="W7" s="313" t="s">
        <v>97</v>
      </c>
    </row>
    <row r="8" spans="1:24" s="9" customFormat="1" x14ac:dyDescent="0.45">
      <c r="A8" s="6" t="str">
        <f t="shared" si="0"/>
        <v>00-03</v>
      </c>
      <c r="B8" s="8" t="s">
        <v>1</v>
      </c>
      <c r="C8" s="9" t="str">
        <f>VLOOKUP(B8,ГПок!$B:$E,2,0)</f>
        <v>ТЭП</v>
      </c>
      <c r="D8" s="12">
        <v>0</v>
      </c>
      <c r="E8" s="6" t="s">
        <v>152</v>
      </c>
      <c r="F8" s="8" t="s">
        <v>24</v>
      </c>
      <c r="G8" s="9" t="s">
        <v>59</v>
      </c>
      <c r="J8" s="9" t="s">
        <v>41</v>
      </c>
      <c r="K8" s="6" t="s">
        <v>72</v>
      </c>
      <c r="N8" s="69"/>
      <c r="O8" s="116" t="s">
        <v>423</v>
      </c>
      <c r="Q8" s="72"/>
      <c r="T8" s="79"/>
      <c r="U8" s="79"/>
      <c r="V8" s="79"/>
      <c r="W8" s="313"/>
    </row>
    <row r="9" spans="1:24" s="9" customFormat="1" x14ac:dyDescent="0.45">
      <c r="A9" s="6" t="str">
        <f t="shared" si="0"/>
        <v>00-04</v>
      </c>
      <c r="B9" s="8" t="s">
        <v>1</v>
      </c>
      <c r="C9" s="9" t="str">
        <f>VLOOKUP(B9,ГПок!$B:$E,2,0)</f>
        <v>ТЭП</v>
      </c>
      <c r="D9" s="12">
        <v>0</v>
      </c>
      <c r="E9" s="6" t="s">
        <v>152</v>
      </c>
      <c r="F9" s="8" t="s">
        <v>25</v>
      </c>
      <c r="G9" s="9" t="s">
        <v>276</v>
      </c>
      <c r="I9" s="18" t="s">
        <v>156</v>
      </c>
      <c r="J9" s="9" t="s">
        <v>41</v>
      </c>
      <c r="K9" s="6" t="s">
        <v>72</v>
      </c>
      <c r="L9" s="9" t="s">
        <v>275</v>
      </c>
      <c r="N9" s="69"/>
      <c r="O9" s="116" t="s">
        <v>423</v>
      </c>
      <c r="Q9" s="72"/>
      <c r="R9" t="s">
        <v>423</v>
      </c>
      <c r="S9"/>
      <c r="T9" s="79"/>
      <c r="U9" s="79"/>
      <c r="V9" s="79"/>
      <c r="W9" s="313"/>
    </row>
    <row r="10" spans="1:24" s="9" customFormat="1" outlineLevel="1" x14ac:dyDescent="0.45">
      <c r="A10" s="6" t="str">
        <f t="shared" ref="A10:A12" si="1">B10&amp;"-"&amp;F10</f>
        <v>00-</v>
      </c>
      <c r="B10" s="8" t="s">
        <v>1</v>
      </c>
      <c r="C10" s="9" t="str">
        <f>VLOOKUP(B10,ГПок!$B:$E,2,0)</f>
        <v>ТЭП</v>
      </c>
      <c r="D10" s="12">
        <v>0</v>
      </c>
      <c r="E10" s="6" t="s">
        <v>152</v>
      </c>
      <c r="F10" s="8"/>
      <c r="H10" s="8" t="s">
        <v>19</v>
      </c>
      <c r="I10" s="6" t="s">
        <v>51</v>
      </c>
      <c r="J10" s="9" t="s">
        <v>41</v>
      </c>
      <c r="K10" s="6" t="s">
        <v>72</v>
      </c>
      <c r="N10" s="71"/>
      <c r="O10" s="116"/>
      <c r="Q10" s="72"/>
      <c r="R10" t="s">
        <v>423</v>
      </c>
      <c r="S10"/>
      <c r="T10" s="79"/>
      <c r="U10" s="79"/>
      <c r="V10" s="79"/>
      <c r="W10" s="313"/>
    </row>
    <row r="11" spans="1:24" s="9" customFormat="1" outlineLevel="1" x14ac:dyDescent="0.45">
      <c r="A11" s="6" t="str">
        <f t="shared" si="1"/>
        <v>00-</v>
      </c>
      <c r="B11" s="8" t="s">
        <v>1</v>
      </c>
      <c r="C11" s="9" t="str">
        <f>VLOOKUP(B11,ГПок!$B:$E,2,0)</f>
        <v>ТЭП</v>
      </c>
      <c r="D11" s="12">
        <v>0</v>
      </c>
      <c r="E11" s="6" t="s">
        <v>152</v>
      </c>
      <c r="F11" s="8"/>
      <c r="H11" s="8" t="s">
        <v>158</v>
      </c>
      <c r="I11" s="10" t="s">
        <v>11</v>
      </c>
      <c r="J11" s="9" t="s">
        <v>41</v>
      </c>
      <c r="K11" s="6" t="s">
        <v>72</v>
      </c>
      <c r="N11" s="71"/>
      <c r="O11" s="116"/>
      <c r="Q11" s="72"/>
      <c r="R11" t="s">
        <v>423</v>
      </c>
      <c r="S11"/>
      <c r="T11" s="79"/>
      <c r="U11" s="79"/>
      <c r="V11" s="79"/>
      <c r="W11" s="313"/>
    </row>
    <row r="12" spans="1:24" s="9" customFormat="1" outlineLevel="1" x14ac:dyDescent="0.45">
      <c r="A12" s="6" t="str">
        <f t="shared" si="1"/>
        <v>00-</v>
      </c>
      <c r="B12" s="8" t="s">
        <v>1</v>
      </c>
      <c r="C12" s="9" t="str">
        <f>VLOOKUP(B12,ГПок!$B:$E,2,0)</f>
        <v>ТЭП</v>
      </c>
      <c r="D12" s="12">
        <v>0</v>
      </c>
      <c r="E12" s="6" t="s">
        <v>152</v>
      </c>
      <c r="F12" s="8"/>
      <c r="H12" s="8" t="s">
        <v>161</v>
      </c>
      <c r="I12" s="10"/>
      <c r="J12" s="9" t="s">
        <v>41</v>
      </c>
      <c r="K12" s="6" t="s">
        <v>72</v>
      </c>
      <c r="N12" s="71"/>
      <c r="O12" s="116"/>
      <c r="Q12" s="72"/>
      <c r="R12" t="s">
        <v>423</v>
      </c>
      <c r="S12"/>
      <c r="T12" s="79"/>
      <c r="U12" s="79"/>
      <c r="V12" s="79"/>
      <c r="W12" s="313"/>
    </row>
    <row r="13" spans="1:24" s="9" customFormat="1" x14ac:dyDescent="0.45">
      <c r="A13" s="6" t="str">
        <f t="shared" si="0"/>
        <v>00-05</v>
      </c>
      <c r="B13" s="8" t="s">
        <v>1</v>
      </c>
      <c r="C13" s="9" t="str">
        <f>VLOOKUP(B13,ГПок!$B:$E,2,0)</f>
        <v>ТЭП</v>
      </c>
      <c r="D13" s="12">
        <v>0</v>
      </c>
      <c r="E13" s="6" t="s">
        <v>152</v>
      </c>
      <c r="F13" s="8" t="s">
        <v>26</v>
      </c>
      <c r="G13" s="9" t="s">
        <v>64</v>
      </c>
      <c r="I13" s="18" t="s">
        <v>156</v>
      </c>
      <c r="J13" s="9" t="s">
        <v>41</v>
      </c>
      <c r="K13" s="6" t="s">
        <v>72</v>
      </c>
      <c r="N13" s="69"/>
      <c r="O13" s="116" t="s">
        <v>423</v>
      </c>
      <c r="Q13" s="72"/>
      <c r="R13" t="s">
        <v>423</v>
      </c>
      <c r="S13"/>
      <c r="T13" s="79"/>
      <c r="U13" s="79"/>
      <c r="V13" s="79"/>
      <c r="W13" s="313"/>
    </row>
    <row r="14" spans="1:24" s="9" customFormat="1" outlineLevel="1" x14ac:dyDescent="0.45">
      <c r="A14" s="6" t="str">
        <f t="shared" si="0"/>
        <v>00-</v>
      </c>
      <c r="B14" s="8" t="s">
        <v>1</v>
      </c>
      <c r="C14" s="9" t="str">
        <f>VLOOKUP(B14,ГПок!$B:$E,2,0)</f>
        <v>ТЭП</v>
      </c>
      <c r="D14" s="12">
        <v>0</v>
      </c>
      <c r="E14" s="6" t="s">
        <v>152</v>
      </c>
      <c r="F14" s="8"/>
      <c r="H14" s="8" t="s">
        <v>19</v>
      </c>
      <c r="I14" s="6" t="s">
        <v>51</v>
      </c>
      <c r="J14" s="9" t="s">
        <v>41</v>
      </c>
      <c r="K14" s="6" t="s">
        <v>72</v>
      </c>
      <c r="L14" s="9" t="s">
        <v>61</v>
      </c>
      <c r="M14" s="9" t="s">
        <v>63</v>
      </c>
      <c r="N14" s="71"/>
      <c r="O14" s="116"/>
      <c r="Q14" s="72"/>
      <c r="R14" t="s">
        <v>423</v>
      </c>
      <c r="S14"/>
      <c r="T14" s="79"/>
      <c r="U14" s="79"/>
      <c r="V14" s="79"/>
      <c r="W14" s="313"/>
    </row>
    <row r="15" spans="1:24" s="9" customFormat="1" outlineLevel="1" x14ac:dyDescent="0.45">
      <c r="A15" s="6" t="str">
        <f t="shared" si="0"/>
        <v>00-</v>
      </c>
      <c r="B15" s="8" t="s">
        <v>1</v>
      </c>
      <c r="C15" s="9" t="str">
        <f>VLOOKUP(B15,ГПок!$B:$E,2,0)</f>
        <v>ТЭП</v>
      </c>
      <c r="D15" s="12">
        <v>0</v>
      </c>
      <c r="E15" s="6" t="s">
        <v>152</v>
      </c>
      <c r="F15" s="8"/>
      <c r="H15" s="8" t="s">
        <v>158</v>
      </c>
      <c r="I15" s="10" t="s">
        <v>11</v>
      </c>
      <c r="J15" s="9" t="s">
        <v>41</v>
      </c>
      <c r="K15" s="6" t="s">
        <v>72</v>
      </c>
      <c r="N15" s="71"/>
      <c r="O15" s="116"/>
      <c r="Q15" s="72"/>
      <c r="R15" t="s">
        <v>423</v>
      </c>
      <c r="S15"/>
      <c r="T15" s="79"/>
      <c r="U15" s="79"/>
      <c r="V15" s="79"/>
      <c r="W15" s="313"/>
    </row>
    <row r="16" spans="1:24" s="9" customFormat="1" outlineLevel="1" x14ac:dyDescent="0.45">
      <c r="A16" s="6" t="str">
        <f t="shared" si="0"/>
        <v>00-</v>
      </c>
      <c r="B16" s="8" t="s">
        <v>1</v>
      </c>
      <c r="C16" s="9" t="str">
        <f>VLOOKUP(B16,ГПок!$B:$E,2,0)</f>
        <v>ТЭП</v>
      </c>
      <c r="D16" s="12">
        <v>0</v>
      </c>
      <c r="E16" s="6" t="s">
        <v>152</v>
      </c>
      <c r="F16" s="8"/>
      <c r="H16" s="8" t="s">
        <v>159</v>
      </c>
      <c r="I16" s="10" t="s">
        <v>12</v>
      </c>
      <c r="J16" s="9" t="s">
        <v>41</v>
      </c>
      <c r="K16" s="6" t="s">
        <v>72</v>
      </c>
      <c r="N16" s="71"/>
      <c r="O16" s="116"/>
      <c r="Q16" s="72"/>
      <c r="R16" t="s">
        <v>423</v>
      </c>
      <c r="S16"/>
      <c r="T16" s="79"/>
      <c r="U16" s="79"/>
      <c r="V16" s="79"/>
      <c r="W16" s="313"/>
    </row>
    <row r="17" spans="1:23" s="9" customFormat="1" outlineLevel="1" x14ac:dyDescent="0.45">
      <c r="A17" s="6" t="str">
        <f t="shared" si="0"/>
        <v>00-</v>
      </c>
      <c r="B17" s="8" t="s">
        <v>1</v>
      </c>
      <c r="C17" s="9" t="str">
        <f>VLOOKUP(B17,ГПок!$B:$E,2,0)</f>
        <v>ТЭП</v>
      </c>
      <c r="D17" s="12">
        <v>0</v>
      </c>
      <c r="E17" s="6" t="s">
        <v>152</v>
      </c>
      <c r="F17" s="8"/>
      <c r="H17" s="8" t="s">
        <v>160</v>
      </c>
      <c r="I17" s="10" t="s">
        <v>13</v>
      </c>
      <c r="J17" s="9" t="s">
        <v>41</v>
      </c>
      <c r="K17" s="6" t="s">
        <v>72</v>
      </c>
      <c r="N17" s="71"/>
      <c r="O17" s="116"/>
      <c r="Q17" s="72"/>
      <c r="R17" t="s">
        <v>423</v>
      </c>
      <c r="S17"/>
      <c r="T17" s="79"/>
      <c r="U17" s="79"/>
      <c r="V17" s="79"/>
      <c r="W17" s="313"/>
    </row>
    <row r="18" spans="1:23" s="9" customFormat="1" outlineLevel="1" x14ac:dyDescent="0.45">
      <c r="A18" s="6" t="str">
        <f t="shared" si="0"/>
        <v>00-</v>
      </c>
      <c r="B18" s="8" t="s">
        <v>1</v>
      </c>
      <c r="C18" s="9" t="str">
        <f>VLOOKUP(B18,ГПок!$B:$E,2,0)</f>
        <v>ТЭП</v>
      </c>
      <c r="D18" s="12">
        <v>0</v>
      </c>
      <c r="E18" s="6" t="s">
        <v>152</v>
      </c>
      <c r="F18" s="8"/>
      <c r="H18" s="8" t="s">
        <v>20</v>
      </c>
      <c r="I18" s="6" t="s">
        <v>157</v>
      </c>
      <c r="J18" s="9" t="s">
        <v>41</v>
      </c>
      <c r="K18" s="6" t="s">
        <v>72</v>
      </c>
      <c r="M18" s="9" t="s">
        <v>62</v>
      </c>
      <c r="N18" s="71"/>
      <c r="O18" s="116"/>
      <c r="Q18" s="72"/>
      <c r="R18" t="s">
        <v>423</v>
      </c>
      <c r="S18"/>
      <c r="T18" s="79"/>
      <c r="U18" s="79"/>
      <c r="V18" s="79"/>
      <c r="W18" s="313"/>
    </row>
    <row r="19" spans="1:23" s="9" customFormat="1" outlineLevel="1" x14ac:dyDescent="0.45">
      <c r="A19" s="6" t="str">
        <f t="shared" si="0"/>
        <v>00-</v>
      </c>
      <c r="B19" s="8" t="s">
        <v>1</v>
      </c>
      <c r="C19" s="9" t="str">
        <f>VLOOKUP(B19,ГПок!$B:$E,2,0)</f>
        <v>ТЭП</v>
      </c>
      <c r="D19" s="12">
        <v>0</v>
      </c>
      <c r="E19" s="6" t="s">
        <v>152</v>
      </c>
      <c r="F19" s="8"/>
      <c r="H19" s="8" t="s">
        <v>24</v>
      </c>
      <c r="I19" s="6" t="s">
        <v>14</v>
      </c>
      <c r="J19" s="9" t="s">
        <v>41</v>
      </c>
      <c r="K19" s="6" t="s">
        <v>72</v>
      </c>
      <c r="N19" s="71"/>
      <c r="O19" s="116"/>
      <c r="Q19" s="72"/>
      <c r="R19" t="s">
        <v>423</v>
      </c>
      <c r="S19"/>
      <c r="T19" s="79"/>
      <c r="U19" s="79"/>
      <c r="V19" s="79"/>
      <c r="W19" s="313"/>
    </row>
    <row r="20" spans="1:23" s="9" customFormat="1" outlineLevel="1" x14ac:dyDescent="0.45">
      <c r="A20" s="6" t="str">
        <f t="shared" si="0"/>
        <v>00-</v>
      </c>
      <c r="B20" s="8" t="s">
        <v>1</v>
      </c>
      <c r="C20" s="9" t="str">
        <f>VLOOKUP(B20,ГПок!$B:$E,2,0)</f>
        <v>ТЭП</v>
      </c>
      <c r="D20" s="12">
        <v>0</v>
      </c>
      <c r="E20" s="6" t="s">
        <v>152</v>
      </c>
      <c r="F20" s="8"/>
      <c r="H20" s="8" t="s">
        <v>25</v>
      </c>
      <c r="I20" s="6" t="s">
        <v>52</v>
      </c>
      <c r="J20" s="9" t="s">
        <v>41</v>
      </c>
      <c r="K20" s="6" t="s">
        <v>72</v>
      </c>
      <c r="N20" s="71"/>
      <c r="O20" s="116"/>
      <c r="Q20" s="72"/>
      <c r="R20" t="s">
        <v>423</v>
      </c>
      <c r="S20"/>
      <c r="T20" s="79"/>
      <c r="U20" s="79"/>
      <c r="V20" s="79"/>
      <c r="W20" s="313"/>
    </row>
    <row r="21" spans="1:23" s="9" customFormat="1" outlineLevel="1" x14ac:dyDescent="0.45">
      <c r="A21" s="6" t="str">
        <f t="shared" si="0"/>
        <v>00-</v>
      </c>
      <c r="B21" s="8" t="s">
        <v>1</v>
      </c>
      <c r="C21" s="9" t="str">
        <f>VLOOKUP(B21,ГПок!$B:$E,2,0)</f>
        <v>ТЭП</v>
      </c>
      <c r="D21" s="12">
        <v>0</v>
      </c>
      <c r="E21" s="6" t="s">
        <v>152</v>
      </c>
      <c r="F21" s="8"/>
      <c r="H21" s="8" t="s">
        <v>26</v>
      </c>
      <c r="I21" s="6" t="s">
        <v>53</v>
      </c>
      <c r="J21" s="9" t="s">
        <v>41</v>
      </c>
      <c r="K21" s="6" t="s">
        <v>72</v>
      </c>
      <c r="L21" s="9" t="s">
        <v>61</v>
      </c>
      <c r="M21" s="9" t="s">
        <v>67</v>
      </c>
      <c r="N21" s="71"/>
      <c r="O21" s="116"/>
      <c r="Q21" s="72"/>
      <c r="R21" t="s">
        <v>423</v>
      </c>
      <c r="S21"/>
      <c r="T21" s="79"/>
      <c r="U21" s="79"/>
      <c r="V21" s="79"/>
      <c r="W21" s="313"/>
    </row>
    <row r="22" spans="1:23" s="9" customFormat="1" outlineLevel="1" x14ac:dyDescent="0.45">
      <c r="A22" s="6" t="str">
        <f t="shared" si="0"/>
        <v>00-</v>
      </c>
      <c r="B22" s="8" t="s">
        <v>1</v>
      </c>
      <c r="C22" s="9" t="str">
        <f>VLOOKUP(B22,ГПок!$B:$E,2,0)</f>
        <v>ТЭП</v>
      </c>
      <c r="D22" s="12">
        <v>0</v>
      </c>
      <c r="E22" s="6" t="s">
        <v>152</v>
      </c>
      <c r="F22" s="8"/>
      <c r="H22" s="8" t="s">
        <v>35</v>
      </c>
      <c r="I22" s="6" t="s">
        <v>15</v>
      </c>
      <c r="J22" s="9" t="s">
        <v>41</v>
      </c>
      <c r="K22" s="6" t="s">
        <v>72</v>
      </c>
      <c r="N22" s="71"/>
      <c r="O22" s="116"/>
      <c r="Q22" s="72"/>
      <c r="R22" t="s">
        <v>423</v>
      </c>
      <c r="S22"/>
      <c r="T22" s="79"/>
      <c r="U22" s="79"/>
      <c r="V22" s="79"/>
      <c r="W22" s="313"/>
    </row>
    <row r="23" spans="1:23" s="9" customFormat="1" outlineLevel="1" x14ac:dyDescent="0.45">
      <c r="A23" s="6" t="str">
        <f t="shared" si="0"/>
        <v>00-</v>
      </c>
      <c r="B23" s="8" t="s">
        <v>1</v>
      </c>
      <c r="C23" s="9" t="str">
        <f>VLOOKUP(B23,ГПок!$B:$E,2,0)</f>
        <v>ТЭП</v>
      </c>
      <c r="D23" s="12">
        <v>0</v>
      </c>
      <c r="E23" s="6" t="s">
        <v>152</v>
      </c>
      <c r="F23" s="8"/>
      <c r="H23" s="8" t="s">
        <v>37</v>
      </c>
      <c r="I23" s="6" t="s">
        <v>16</v>
      </c>
      <c r="J23" s="9" t="s">
        <v>41</v>
      </c>
      <c r="K23" s="6"/>
      <c r="N23" s="71"/>
      <c r="O23" s="116"/>
      <c r="Q23" s="72"/>
      <c r="R23" t="s">
        <v>423</v>
      </c>
      <c r="S23"/>
      <c r="T23" s="79"/>
      <c r="U23" s="79"/>
      <c r="V23" s="79"/>
      <c r="W23" s="313"/>
    </row>
    <row r="24" spans="1:23" s="9" customFormat="1" x14ac:dyDescent="0.45">
      <c r="A24" s="6" t="str">
        <f t="shared" si="0"/>
        <v>00-06</v>
      </c>
      <c r="B24" s="8" t="s">
        <v>1</v>
      </c>
      <c r="C24" s="9" t="str">
        <f>VLOOKUP(B24,ГПок!$B:$E,2,0)</f>
        <v>ТЭП</v>
      </c>
      <c r="D24" s="12">
        <v>0</v>
      </c>
      <c r="E24" s="6" t="s">
        <v>152</v>
      </c>
      <c r="F24" s="8" t="s">
        <v>35</v>
      </c>
      <c r="G24" s="9" t="s">
        <v>65</v>
      </c>
      <c r="I24" s="18" t="s">
        <v>156</v>
      </c>
      <c r="J24" s="9" t="s">
        <v>41</v>
      </c>
      <c r="K24" s="6" t="s">
        <v>72</v>
      </c>
      <c r="N24" s="69"/>
      <c r="O24" s="116" t="s">
        <v>423</v>
      </c>
      <c r="Q24" s="72"/>
      <c r="R24" t="s">
        <v>423</v>
      </c>
      <c r="S24"/>
      <c r="T24" s="79"/>
      <c r="U24" s="79"/>
      <c r="V24" s="79"/>
      <c r="W24" s="313"/>
    </row>
    <row r="25" spans="1:23" s="9" customFormat="1" outlineLevel="1" x14ac:dyDescent="0.45">
      <c r="A25" s="6" t="str">
        <f t="shared" si="0"/>
        <v>00-</v>
      </c>
      <c r="B25" s="8" t="s">
        <v>1</v>
      </c>
      <c r="C25" s="9" t="str">
        <f>VLOOKUP(B25,ГПок!$B:$E,2,0)</f>
        <v>ТЭП</v>
      </c>
      <c r="D25" s="12">
        <v>0</v>
      </c>
      <c r="E25" s="6" t="s">
        <v>152</v>
      </c>
      <c r="F25" s="8"/>
      <c r="H25" s="8" t="s">
        <v>19</v>
      </c>
      <c r="I25" s="6" t="s">
        <v>51</v>
      </c>
      <c r="J25" s="9" t="s">
        <v>41</v>
      </c>
      <c r="K25" s="6" t="s">
        <v>72</v>
      </c>
      <c r="N25" s="71"/>
      <c r="O25" s="116"/>
      <c r="Q25" s="72"/>
      <c r="R25" t="s">
        <v>423</v>
      </c>
      <c r="S25"/>
      <c r="T25" s="79"/>
      <c r="U25" s="79"/>
      <c r="V25" s="79"/>
      <c r="W25" s="313"/>
    </row>
    <row r="26" spans="1:23" s="9" customFormat="1" outlineLevel="1" x14ac:dyDescent="0.45">
      <c r="A26" s="6" t="str">
        <f t="shared" si="0"/>
        <v>00-</v>
      </c>
      <c r="B26" s="8" t="s">
        <v>1</v>
      </c>
      <c r="C26" s="9" t="str">
        <f>VLOOKUP(B26,ГПок!$B:$E,2,0)</f>
        <v>ТЭП</v>
      </c>
      <c r="D26" s="12">
        <v>0</v>
      </c>
      <c r="E26" s="6" t="s">
        <v>152</v>
      </c>
      <c r="F26" s="8"/>
      <c r="H26" s="8" t="s">
        <v>158</v>
      </c>
      <c r="I26" s="10" t="s">
        <v>11</v>
      </c>
      <c r="J26" s="9" t="s">
        <v>41</v>
      </c>
      <c r="K26" s="6" t="s">
        <v>72</v>
      </c>
      <c r="N26" s="71"/>
      <c r="O26" s="116"/>
      <c r="Q26" s="72"/>
      <c r="R26" t="s">
        <v>423</v>
      </c>
      <c r="S26"/>
      <c r="T26" s="79"/>
      <c r="U26" s="79"/>
      <c r="V26" s="79"/>
      <c r="W26" s="313"/>
    </row>
    <row r="27" spans="1:23" s="9" customFormat="1" outlineLevel="1" x14ac:dyDescent="0.45">
      <c r="A27" s="6" t="str">
        <f t="shared" si="0"/>
        <v>00-</v>
      </c>
      <c r="B27" s="8" t="s">
        <v>1</v>
      </c>
      <c r="C27" s="9" t="str">
        <f>VLOOKUP(B27,ГПок!$B:$E,2,0)</f>
        <v>ТЭП</v>
      </c>
      <c r="D27" s="12">
        <v>0</v>
      </c>
      <c r="E27" s="6" t="s">
        <v>152</v>
      </c>
      <c r="F27" s="8"/>
      <c r="H27" s="8" t="s">
        <v>161</v>
      </c>
      <c r="I27" s="10"/>
      <c r="J27" s="9" t="s">
        <v>41</v>
      </c>
      <c r="K27" s="6" t="s">
        <v>72</v>
      </c>
      <c r="N27" s="71"/>
      <c r="O27" s="116"/>
      <c r="Q27" s="72"/>
      <c r="R27" t="s">
        <v>423</v>
      </c>
      <c r="S27"/>
      <c r="T27" s="79"/>
      <c r="U27" s="79"/>
      <c r="V27" s="79"/>
      <c r="W27" s="313"/>
    </row>
    <row r="28" spans="1:23" s="9" customFormat="1" x14ac:dyDescent="0.45">
      <c r="A28" s="6" t="str">
        <f t="shared" si="0"/>
        <v>00-07</v>
      </c>
      <c r="B28" s="8" t="s">
        <v>1</v>
      </c>
      <c r="C28" s="9" t="str">
        <f>VLOOKUP(B28,ГПок!$B:$E,2,0)</f>
        <v>ТЭП</v>
      </c>
      <c r="D28" s="12">
        <v>0</v>
      </c>
      <c r="E28" s="6" t="s">
        <v>152</v>
      </c>
      <c r="F28" s="8" t="s">
        <v>37</v>
      </c>
      <c r="G28" s="9" t="s">
        <v>66</v>
      </c>
      <c r="I28" s="18" t="s">
        <v>156</v>
      </c>
      <c r="J28" s="9" t="s">
        <v>41</v>
      </c>
      <c r="K28" s="6" t="s">
        <v>72</v>
      </c>
      <c r="N28" s="69"/>
      <c r="O28" s="116" t="s">
        <v>423</v>
      </c>
      <c r="Q28" s="72"/>
      <c r="R28" t="s">
        <v>423</v>
      </c>
      <c r="S28"/>
      <c r="T28" s="79"/>
      <c r="U28" s="79"/>
      <c r="V28" s="79"/>
      <c r="W28" s="313"/>
    </row>
    <row r="29" spans="1:23" s="9" customFormat="1" outlineLevel="1" x14ac:dyDescent="0.45">
      <c r="A29" s="6" t="str">
        <f t="shared" si="0"/>
        <v>00-</v>
      </c>
      <c r="B29" s="8" t="s">
        <v>1</v>
      </c>
      <c r="C29" s="9" t="str">
        <f>VLOOKUP(B29,ГПок!$B:$E,2,0)</f>
        <v>ТЭП</v>
      </c>
      <c r="D29" s="12">
        <v>0</v>
      </c>
      <c r="E29" s="6" t="s">
        <v>152</v>
      </c>
      <c r="F29" s="8"/>
      <c r="H29" s="8" t="s">
        <v>19</v>
      </c>
      <c r="I29" s="6" t="s">
        <v>51</v>
      </c>
      <c r="J29" s="9" t="s">
        <v>41</v>
      </c>
      <c r="K29" s="6" t="s">
        <v>72</v>
      </c>
      <c r="N29" s="71"/>
      <c r="O29" s="116"/>
      <c r="Q29" s="72"/>
      <c r="R29" t="s">
        <v>423</v>
      </c>
      <c r="S29"/>
      <c r="T29" s="79"/>
      <c r="U29" s="79"/>
      <c r="V29" s="79"/>
      <c r="W29" s="313"/>
    </row>
    <row r="30" spans="1:23" s="9" customFormat="1" outlineLevel="1" x14ac:dyDescent="0.45">
      <c r="A30" s="6" t="str">
        <f t="shared" si="0"/>
        <v>00-</v>
      </c>
      <c r="B30" s="8" t="s">
        <v>1</v>
      </c>
      <c r="C30" s="9" t="str">
        <f>VLOOKUP(B30,ГПок!$B:$E,2,0)</f>
        <v>ТЭП</v>
      </c>
      <c r="D30" s="12">
        <v>0</v>
      </c>
      <c r="E30" s="6" t="s">
        <v>152</v>
      </c>
      <c r="F30" s="8"/>
      <c r="H30" s="8" t="s">
        <v>158</v>
      </c>
      <c r="I30" s="10" t="s">
        <v>11</v>
      </c>
      <c r="J30" s="9" t="s">
        <v>41</v>
      </c>
      <c r="K30" s="6" t="s">
        <v>72</v>
      </c>
      <c r="N30" s="71"/>
      <c r="O30" s="116"/>
      <c r="Q30" s="72"/>
      <c r="R30" t="s">
        <v>423</v>
      </c>
      <c r="S30"/>
      <c r="T30" s="79"/>
      <c r="U30" s="79"/>
      <c r="V30" s="79"/>
      <c r="W30" s="313"/>
    </row>
    <row r="31" spans="1:23" s="9" customFormat="1" outlineLevel="1" x14ac:dyDescent="0.45">
      <c r="A31" s="6" t="str">
        <f t="shared" si="0"/>
        <v>00-</v>
      </c>
      <c r="B31" s="8" t="s">
        <v>1</v>
      </c>
      <c r="C31" s="9" t="str">
        <f>VLOOKUP(B31,ГПок!$B:$E,2,0)</f>
        <v>ТЭП</v>
      </c>
      <c r="D31" s="12">
        <v>0</v>
      </c>
      <c r="E31" s="6" t="s">
        <v>152</v>
      </c>
      <c r="F31" s="8"/>
      <c r="H31" s="8" t="s">
        <v>161</v>
      </c>
      <c r="I31" s="10"/>
      <c r="J31" s="9" t="s">
        <v>41</v>
      </c>
      <c r="K31" s="6" t="s">
        <v>72</v>
      </c>
      <c r="N31" s="71"/>
      <c r="O31" s="116"/>
      <c r="Q31" s="72"/>
      <c r="R31" t="s">
        <v>423</v>
      </c>
      <c r="S31"/>
      <c r="T31" s="79"/>
      <c r="U31" s="79"/>
      <c r="V31" s="79"/>
      <c r="W31" s="313"/>
    </row>
    <row r="32" spans="1:23" s="9" customFormat="1" x14ac:dyDescent="0.45">
      <c r="A32" s="6" t="str">
        <f t="shared" si="0"/>
        <v>00-08</v>
      </c>
      <c r="B32" s="8" t="s">
        <v>1</v>
      </c>
      <c r="C32" s="9" t="str">
        <f>VLOOKUP(B32,ГПок!$B:$E,2,0)</f>
        <v>ТЭП</v>
      </c>
      <c r="D32" s="12">
        <v>0</v>
      </c>
      <c r="E32" s="6" t="s">
        <v>152</v>
      </c>
      <c r="F32" s="8" t="s">
        <v>48</v>
      </c>
      <c r="G32" s="9" t="s">
        <v>68</v>
      </c>
      <c r="I32" s="18" t="s">
        <v>156</v>
      </c>
      <c r="J32" s="9" t="s">
        <v>41</v>
      </c>
      <c r="K32" s="6" t="s">
        <v>72</v>
      </c>
      <c r="N32" s="71"/>
      <c r="O32" s="116" t="s">
        <v>423</v>
      </c>
      <c r="Q32" s="72"/>
      <c r="R32" t="s">
        <v>423</v>
      </c>
      <c r="S32"/>
      <c r="T32" s="79"/>
      <c r="U32" s="79"/>
      <c r="V32" s="79"/>
      <c r="W32" s="7"/>
    </row>
    <row r="33" spans="1:23" s="9" customFormat="1" outlineLevel="1" x14ac:dyDescent="0.45">
      <c r="A33" s="6" t="str">
        <f t="shared" si="0"/>
        <v>00-</v>
      </c>
      <c r="B33" s="8" t="s">
        <v>1</v>
      </c>
      <c r="C33" s="9" t="str">
        <f>VLOOKUP(B33,ГПок!$B:$E,2,0)</f>
        <v>ТЭП</v>
      </c>
      <c r="D33" s="12">
        <v>0</v>
      </c>
      <c r="E33" s="6" t="s">
        <v>152</v>
      </c>
      <c r="F33" s="8"/>
      <c r="H33" s="8" t="s">
        <v>19</v>
      </c>
      <c r="I33" s="6" t="s">
        <v>51</v>
      </c>
      <c r="J33" s="9" t="s">
        <v>41</v>
      </c>
      <c r="K33" s="6" t="s">
        <v>72</v>
      </c>
      <c r="N33" s="71"/>
      <c r="O33" s="116"/>
      <c r="Q33" s="72"/>
      <c r="R33" t="s">
        <v>423</v>
      </c>
      <c r="S33"/>
      <c r="T33" s="79"/>
      <c r="U33" s="79"/>
      <c r="V33" s="79"/>
      <c r="W33" s="7"/>
    </row>
    <row r="34" spans="1:23" s="9" customFormat="1" outlineLevel="1" x14ac:dyDescent="0.45">
      <c r="A34" s="6" t="str">
        <f t="shared" si="0"/>
        <v>00-</v>
      </c>
      <c r="B34" s="8" t="s">
        <v>1</v>
      </c>
      <c r="C34" s="9" t="str">
        <f>VLOOKUP(B34,ГПок!$B:$E,2,0)</f>
        <v>ТЭП</v>
      </c>
      <c r="D34" s="12">
        <v>0</v>
      </c>
      <c r="E34" s="6" t="s">
        <v>152</v>
      </c>
      <c r="F34" s="8"/>
      <c r="H34" s="8" t="s">
        <v>158</v>
      </c>
      <c r="I34" s="10" t="s">
        <v>11</v>
      </c>
      <c r="J34" s="9" t="s">
        <v>41</v>
      </c>
      <c r="K34" s="6" t="s">
        <v>72</v>
      </c>
      <c r="N34" s="71"/>
      <c r="O34" s="116"/>
      <c r="Q34" s="72"/>
      <c r="R34" t="s">
        <v>423</v>
      </c>
      <c r="S34"/>
      <c r="T34" s="79"/>
      <c r="U34" s="79"/>
      <c r="V34" s="79"/>
      <c r="W34" s="7"/>
    </row>
    <row r="35" spans="1:23" s="9" customFormat="1" outlineLevel="1" x14ac:dyDescent="0.45">
      <c r="A35" s="6" t="str">
        <f t="shared" si="0"/>
        <v>00-</v>
      </c>
      <c r="B35" s="8" t="s">
        <v>1</v>
      </c>
      <c r="C35" s="9" t="str">
        <f>VLOOKUP(B35,ГПок!$B:$E,2,0)</f>
        <v>ТЭП</v>
      </c>
      <c r="D35" s="12">
        <v>0</v>
      </c>
      <c r="E35" s="6" t="s">
        <v>152</v>
      </c>
      <c r="F35" s="8"/>
      <c r="H35" s="8" t="s">
        <v>161</v>
      </c>
      <c r="I35" s="10"/>
      <c r="J35" s="9" t="s">
        <v>41</v>
      </c>
      <c r="K35" s="6" t="s">
        <v>72</v>
      </c>
      <c r="N35" s="71"/>
      <c r="O35" s="116"/>
      <c r="Q35" s="72"/>
      <c r="R35" t="s">
        <v>423</v>
      </c>
      <c r="S35"/>
      <c r="T35" s="79"/>
      <c r="U35" s="79"/>
      <c r="V35" s="79"/>
      <c r="W35" s="7"/>
    </row>
    <row r="36" spans="1:23" s="9" customFormat="1" x14ac:dyDescent="0.45">
      <c r="A36" s="6" t="str">
        <f>B36&amp;"-"&amp;F36</f>
        <v>00-09</v>
      </c>
      <c r="B36" s="8" t="s">
        <v>1</v>
      </c>
      <c r="C36" s="9" t="str">
        <f>VLOOKUP(B36,ГПок!$B:$E,2,0)</f>
        <v>ТЭП</v>
      </c>
      <c r="D36" s="12">
        <v>0</v>
      </c>
      <c r="E36" s="6" t="s">
        <v>152</v>
      </c>
      <c r="F36" s="8" t="s">
        <v>49</v>
      </c>
      <c r="G36" s="9" t="s">
        <v>303</v>
      </c>
      <c r="I36" s="18" t="s">
        <v>156</v>
      </c>
      <c r="J36" s="9" t="s">
        <v>41</v>
      </c>
      <c r="K36" s="6" t="s">
        <v>72</v>
      </c>
      <c r="N36" s="71"/>
      <c r="O36" s="116" t="s">
        <v>423</v>
      </c>
      <c r="Q36" s="72"/>
      <c r="R36" t="s">
        <v>423</v>
      </c>
      <c r="S36"/>
      <c r="T36" s="79"/>
      <c r="U36" s="79"/>
      <c r="V36" s="79"/>
      <c r="W36" s="7"/>
    </row>
    <row r="37" spans="1:23" s="9" customFormat="1" outlineLevel="1" x14ac:dyDescent="0.45">
      <c r="A37" s="6" t="str">
        <f t="shared" ref="A37:A40" si="2">B37&amp;"-"&amp;F37</f>
        <v>00-</v>
      </c>
      <c r="B37" s="8" t="s">
        <v>1</v>
      </c>
      <c r="C37" s="9" t="str">
        <f>VLOOKUP(B37,ГПок!$B:$E,2,0)</f>
        <v>ТЭП</v>
      </c>
      <c r="D37" s="12">
        <v>0</v>
      </c>
      <c r="E37" s="6" t="s">
        <v>152</v>
      </c>
      <c r="F37" s="8"/>
      <c r="H37" s="8" t="s">
        <v>19</v>
      </c>
      <c r="I37" s="6" t="s">
        <v>51</v>
      </c>
      <c r="J37" s="9" t="s">
        <v>41</v>
      </c>
      <c r="K37" s="6" t="s">
        <v>72</v>
      </c>
      <c r="N37" s="71"/>
      <c r="O37" s="116"/>
      <c r="Q37" s="72"/>
      <c r="T37" s="79"/>
      <c r="U37" s="79"/>
      <c r="V37" s="79"/>
      <c r="W37" s="7"/>
    </row>
    <row r="38" spans="1:23" s="9" customFormat="1" outlineLevel="1" x14ac:dyDescent="0.45">
      <c r="A38" s="6" t="str">
        <f t="shared" si="2"/>
        <v>00-</v>
      </c>
      <c r="B38" s="8" t="s">
        <v>1</v>
      </c>
      <c r="C38" s="9" t="str">
        <f>VLOOKUP(B38,ГПок!$B:$E,2,0)</f>
        <v>ТЭП</v>
      </c>
      <c r="D38" s="12">
        <v>0</v>
      </c>
      <c r="E38" s="6" t="s">
        <v>152</v>
      </c>
      <c r="F38" s="8"/>
      <c r="H38" s="8" t="s">
        <v>158</v>
      </c>
      <c r="I38" s="10" t="s">
        <v>11</v>
      </c>
      <c r="J38" s="9" t="s">
        <v>41</v>
      </c>
      <c r="K38" s="6" t="s">
        <v>72</v>
      </c>
      <c r="N38" s="71"/>
      <c r="O38" s="116"/>
      <c r="Q38" s="72"/>
      <c r="T38" s="79"/>
      <c r="U38" s="79"/>
      <c r="V38" s="79"/>
      <c r="W38" s="7"/>
    </row>
    <row r="39" spans="1:23" s="9" customFormat="1" outlineLevel="1" x14ac:dyDescent="0.45">
      <c r="A39" s="6" t="str">
        <f t="shared" si="2"/>
        <v>00-</v>
      </c>
      <c r="B39" s="8" t="s">
        <v>1</v>
      </c>
      <c r="C39" s="9" t="str">
        <f>VLOOKUP(B39,ГПок!$B:$E,2,0)</f>
        <v>ТЭП</v>
      </c>
      <c r="D39" s="12">
        <v>0</v>
      </c>
      <c r="E39" s="6" t="s">
        <v>152</v>
      </c>
      <c r="F39" s="8"/>
      <c r="H39" s="8" t="s">
        <v>161</v>
      </c>
      <c r="I39" s="10"/>
      <c r="J39" s="9" t="s">
        <v>41</v>
      </c>
      <c r="K39" s="6" t="s">
        <v>72</v>
      </c>
      <c r="N39" s="71"/>
      <c r="O39" s="116"/>
      <c r="Q39" s="72"/>
      <c r="T39" s="79"/>
      <c r="U39" s="79"/>
      <c r="V39" s="79"/>
      <c r="W39" s="7"/>
    </row>
    <row r="40" spans="1:23" x14ac:dyDescent="0.45">
      <c r="A40" s="6" t="str">
        <f t="shared" si="2"/>
        <v>01-01</v>
      </c>
      <c r="B40" s="8" t="s">
        <v>19</v>
      </c>
      <c r="C40" s="9" t="str">
        <f>VLOOKUP(B40,ГПок!$B:$E,2,0)</f>
        <v>Продажи\контрактация</v>
      </c>
      <c r="D40" s="12">
        <v>1</v>
      </c>
      <c r="E40" s="9" t="s">
        <v>168</v>
      </c>
      <c r="F40" s="8" t="s">
        <v>19</v>
      </c>
      <c r="G40" t="s">
        <v>46</v>
      </c>
      <c r="H40" s="9"/>
      <c r="I40" s="18" t="s">
        <v>156</v>
      </c>
      <c r="J40" s="9" t="s">
        <v>70</v>
      </c>
      <c r="K40" s="9"/>
      <c r="L40" s="33" t="s">
        <v>432</v>
      </c>
      <c r="O40" s="116" t="s">
        <v>273</v>
      </c>
      <c r="R40" t="s">
        <v>423</v>
      </c>
      <c r="S40" t="s">
        <v>423</v>
      </c>
    </row>
    <row r="41" spans="1:23" s="9" customFormat="1" outlineLevel="1" x14ac:dyDescent="0.45">
      <c r="A41" s="6" t="str">
        <f t="shared" si="0"/>
        <v>01-</v>
      </c>
      <c r="B41" s="8" t="s">
        <v>19</v>
      </c>
      <c r="C41" s="9" t="str">
        <f>VLOOKUP(B41,ГПок!$B:$E,2,0)</f>
        <v>Продажи\контрактация</v>
      </c>
      <c r="D41" s="12">
        <v>1</v>
      </c>
      <c r="E41" s="9" t="s">
        <v>168</v>
      </c>
      <c r="H41" s="8" t="s">
        <v>19</v>
      </c>
      <c r="I41" s="6" t="s">
        <v>51</v>
      </c>
      <c r="J41" s="9" t="s">
        <v>70</v>
      </c>
      <c r="N41" s="71"/>
      <c r="O41" s="116" t="s">
        <v>273</v>
      </c>
      <c r="Q41" s="72"/>
      <c r="T41" s="79"/>
      <c r="U41" s="79"/>
      <c r="V41" s="79"/>
    </row>
    <row r="42" spans="1:23" s="9" customFormat="1" outlineLevel="1" x14ac:dyDescent="0.45">
      <c r="A42" s="6" t="str">
        <f t="shared" si="0"/>
        <v>01-</v>
      </c>
      <c r="B42" s="8" t="s">
        <v>19</v>
      </c>
      <c r="C42" s="9" t="str">
        <f>VLOOKUP(B42,ГПок!$B:$E,2,0)</f>
        <v>Продажи\контрактация</v>
      </c>
      <c r="D42" s="12">
        <v>1</v>
      </c>
      <c r="E42" s="9" t="s">
        <v>168</v>
      </c>
      <c r="H42" s="8" t="s">
        <v>158</v>
      </c>
      <c r="I42" s="10" t="s">
        <v>11</v>
      </c>
      <c r="J42" s="9" t="s">
        <v>70</v>
      </c>
      <c r="N42" s="71"/>
      <c r="O42" s="116" t="s">
        <v>273</v>
      </c>
      <c r="Q42" s="72"/>
      <c r="T42" s="79"/>
      <c r="U42" s="79"/>
      <c r="V42" s="79"/>
    </row>
    <row r="43" spans="1:23" s="9" customFormat="1" outlineLevel="1" x14ac:dyDescent="0.45">
      <c r="A43" s="6" t="str">
        <f t="shared" si="0"/>
        <v>01-</v>
      </c>
      <c r="B43" s="8" t="s">
        <v>19</v>
      </c>
      <c r="C43" s="9" t="str">
        <f>VLOOKUP(B43,ГПок!$B:$E,2,0)</f>
        <v>Продажи\контрактация</v>
      </c>
      <c r="D43" s="12">
        <v>1</v>
      </c>
      <c r="E43" s="9" t="s">
        <v>168</v>
      </c>
      <c r="H43" s="8" t="s">
        <v>161</v>
      </c>
      <c r="I43" s="10"/>
      <c r="J43" s="9" t="s">
        <v>70</v>
      </c>
      <c r="N43" s="71"/>
      <c r="O43" s="116" t="s">
        <v>273</v>
      </c>
      <c r="Q43" s="72"/>
      <c r="T43" s="79"/>
      <c r="U43" s="79"/>
      <c r="V43" s="79"/>
    </row>
    <row r="44" spans="1:23" x14ac:dyDescent="0.45">
      <c r="A44" s="6" t="str">
        <f t="shared" si="0"/>
        <v>01-02</v>
      </c>
      <c r="B44" s="8" t="s">
        <v>19</v>
      </c>
      <c r="C44" s="9" t="str">
        <f>VLOOKUP(B44,ГПок!$B:$E,2,0)</f>
        <v>Продажи\контрактация</v>
      </c>
      <c r="D44" s="12">
        <v>1</v>
      </c>
      <c r="E44" s="9" t="s">
        <v>168</v>
      </c>
      <c r="F44" s="8" t="s">
        <v>20</v>
      </c>
      <c r="G44" t="s">
        <v>458</v>
      </c>
      <c r="H44" s="9"/>
      <c r="I44" s="18" t="s">
        <v>156</v>
      </c>
      <c r="J44" t="s">
        <v>41</v>
      </c>
      <c r="K44" s="9"/>
      <c r="O44" s="116" t="s">
        <v>273</v>
      </c>
      <c r="R44" t="s">
        <v>423</v>
      </c>
      <c r="S44" t="s">
        <v>423</v>
      </c>
    </row>
    <row r="45" spans="1:23" outlineLevel="1" x14ac:dyDescent="0.45">
      <c r="A45" s="6" t="str">
        <f t="shared" si="0"/>
        <v>01-</v>
      </c>
      <c r="B45" s="8" t="s">
        <v>19</v>
      </c>
      <c r="C45" s="9" t="str">
        <f>VLOOKUP(B45,ГПок!$B:$E,2,0)</f>
        <v>Продажи\контрактация</v>
      </c>
      <c r="D45" s="12">
        <v>1</v>
      </c>
      <c r="E45" s="9" t="s">
        <v>168</v>
      </c>
      <c r="H45" s="8" t="s">
        <v>19</v>
      </c>
      <c r="I45" s="6" t="s">
        <v>51</v>
      </c>
      <c r="J45" t="s">
        <v>41</v>
      </c>
      <c r="K45" s="9"/>
      <c r="O45" s="116" t="s">
        <v>273</v>
      </c>
    </row>
    <row r="46" spans="1:23" outlineLevel="1" x14ac:dyDescent="0.45">
      <c r="A46" s="6" t="str">
        <f t="shared" si="0"/>
        <v>01-</v>
      </c>
      <c r="B46" s="8" t="s">
        <v>19</v>
      </c>
      <c r="C46" s="9" t="str">
        <f>VLOOKUP(B46,ГПок!$B:$E,2,0)</f>
        <v>Продажи\контрактация</v>
      </c>
      <c r="D46" s="12">
        <v>1</v>
      </c>
      <c r="E46" s="9" t="s">
        <v>168</v>
      </c>
      <c r="H46" s="8" t="s">
        <v>158</v>
      </c>
      <c r="I46" s="10" t="s">
        <v>11</v>
      </c>
      <c r="J46" t="s">
        <v>41</v>
      </c>
      <c r="K46" s="9"/>
      <c r="O46" s="116" t="s">
        <v>273</v>
      </c>
    </row>
    <row r="47" spans="1:23" outlineLevel="1" x14ac:dyDescent="0.45">
      <c r="A47" s="6" t="str">
        <f t="shared" si="0"/>
        <v>01-</v>
      </c>
      <c r="B47" s="8" t="s">
        <v>19</v>
      </c>
      <c r="C47" s="9" t="str">
        <f>VLOOKUP(B47,ГПок!$B:$E,2,0)</f>
        <v>Продажи\контрактация</v>
      </c>
      <c r="D47" s="12">
        <v>1</v>
      </c>
      <c r="E47" s="9" t="s">
        <v>168</v>
      </c>
      <c r="H47" s="8" t="s">
        <v>161</v>
      </c>
      <c r="I47" s="10"/>
      <c r="J47" t="s">
        <v>41</v>
      </c>
      <c r="K47" s="9"/>
      <c r="O47" s="116" t="s">
        <v>273</v>
      </c>
    </row>
    <row r="48" spans="1:23" s="19" customFormat="1" x14ac:dyDescent="0.45">
      <c r="A48" s="6" t="str">
        <f t="shared" si="0"/>
        <v>01-03</v>
      </c>
      <c r="B48" s="27" t="s">
        <v>19</v>
      </c>
      <c r="C48" s="31" t="str">
        <f>VLOOKUP(B48,ГПок!$B:$E,2,0)</f>
        <v>Продажи\контрактация</v>
      </c>
      <c r="D48" s="12">
        <v>1</v>
      </c>
      <c r="E48" s="31" t="s">
        <v>168</v>
      </c>
      <c r="F48" s="27" t="s">
        <v>24</v>
      </c>
      <c r="G48" s="19" t="s">
        <v>166</v>
      </c>
      <c r="H48" s="31"/>
      <c r="I48" s="32" t="s">
        <v>156</v>
      </c>
      <c r="J48" s="19" t="s">
        <v>42</v>
      </c>
      <c r="K48" s="31"/>
      <c r="L48" s="19" t="s">
        <v>737</v>
      </c>
      <c r="N48" s="73"/>
      <c r="O48" s="116" t="s">
        <v>273</v>
      </c>
      <c r="Q48" s="74"/>
      <c r="R48" t="s">
        <v>423</v>
      </c>
      <c r="S48" t="s">
        <v>423</v>
      </c>
      <c r="T48" s="77" t="s">
        <v>261</v>
      </c>
      <c r="U48" s="77"/>
      <c r="V48" s="77"/>
    </row>
    <row r="49" spans="1:22" s="19" customFormat="1" outlineLevel="1" x14ac:dyDescent="0.45">
      <c r="A49" s="6" t="str">
        <f t="shared" si="0"/>
        <v>01-</v>
      </c>
      <c r="B49" s="27" t="s">
        <v>19</v>
      </c>
      <c r="C49" s="31" t="str">
        <f>VLOOKUP(B49,ГПок!$B:$E,2,0)</f>
        <v>Продажи\контрактация</v>
      </c>
      <c r="D49" s="12">
        <v>1</v>
      </c>
      <c r="E49" s="31" t="s">
        <v>168</v>
      </c>
      <c r="H49" s="27" t="s">
        <v>19</v>
      </c>
      <c r="I49" s="29" t="s">
        <v>51</v>
      </c>
      <c r="J49" s="19" t="s">
        <v>42</v>
      </c>
      <c r="K49" s="31"/>
      <c r="N49" s="73"/>
      <c r="O49" s="116" t="s">
        <v>273</v>
      </c>
      <c r="Q49" s="74"/>
      <c r="T49" s="77" t="s">
        <v>262</v>
      </c>
      <c r="U49" s="77"/>
      <c r="V49" s="77"/>
    </row>
    <row r="50" spans="1:22" outlineLevel="1" x14ac:dyDescent="0.45">
      <c r="A50" s="6" t="str">
        <f t="shared" si="0"/>
        <v>01-</v>
      </c>
      <c r="B50" s="8" t="s">
        <v>19</v>
      </c>
      <c r="C50" s="9" t="str">
        <f>VLOOKUP(B50,ГПок!$B:$E,2,0)</f>
        <v>Продажи\контрактация</v>
      </c>
      <c r="D50" s="12">
        <v>1</v>
      </c>
      <c r="E50" s="9" t="s">
        <v>168</v>
      </c>
      <c r="H50" s="8" t="s">
        <v>158</v>
      </c>
      <c r="I50" s="10" t="s">
        <v>11</v>
      </c>
      <c r="J50" t="s">
        <v>42</v>
      </c>
      <c r="K50" s="9"/>
      <c r="O50" s="116" t="s">
        <v>273</v>
      </c>
    </row>
    <row r="51" spans="1:22" outlineLevel="1" x14ac:dyDescent="0.45">
      <c r="A51" s="6" t="str">
        <f t="shared" si="0"/>
        <v>01-</v>
      </c>
      <c r="B51" s="8" t="s">
        <v>19</v>
      </c>
      <c r="C51" s="9" t="str">
        <f>VLOOKUP(B51,ГПок!$B:$E,2,0)</f>
        <v>Продажи\контрактация</v>
      </c>
      <c r="D51" s="12">
        <v>1</v>
      </c>
      <c r="E51" s="9" t="s">
        <v>168</v>
      </c>
      <c r="H51" s="8" t="s">
        <v>161</v>
      </c>
      <c r="I51" s="10"/>
      <c r="J51" t="s">
        <v>42</v>
      </c>
      <c r="K51" s="9"/>
      <c r="O51" s="116" t="s">
        <v>273</v>
      </c>
    </row>
    <row r="52" spans="1:22" x14ac:dyDescent="0.45">
      <c r="A52" s="6" t="str">
        <f t="shared" si="0"/>
        <v>01-04</v>
      </c>
      <c r="B52" s="8" t="s">
        <v>19</v>
      </c>
      <c r="C52" s="9" t="str">
        <f>VLOOKUP(B52,ГПок!$B:$E,2,0)</f>
        <v>Продажи\контрактация</v>
      </c>
      <c r="D52" s="12">
        <v>1</v>
      </c>
      <c r="E52" s="9" t="s">
        <v>168</v>
      </c>
      <c r="F52" s="8" t="s">
        <v>25</v>
      </c>
      <c r="G52" t="s">
        <v>39</v>
      </c>
      <c r="H52" s="9"/>
      <c r="I52" s="18" t="s">
        <v>156</v>
      </c>
      <c r="J52" t="s">
        <v>40</v>
      </c>
      <c r="K52" s="9"/>
      <c r="L52" s="18" t="s">
        <v>56</v>
      </c>
      <c r="O52" s="116" t="s">
        <v>273</v>
      </c>
      <c r="R52" t="s">
        <v>423</v>
      </c>
      <c r="S52" t="s">
        <v>423</v>
      </c>
    </row>
    <row r="53" spans="1:22" outlineLevel="1" x14ac:dyDescent="0.45">
      <c r="A53" s="6" t="str">
        <f t="shared" si="0"/>
        <v>01-</v>
      </c>
      <c r="B53" s="8" t="s">
        <v>19</v>
      </c>
      <c r="C53" s="9" t="str">
        <f>VLOOKUP(B53,ГПок!$B:$E,2,0)</f>
        <v>Продажи\контрактация</v>
      </c>
      <c r="D53" s="12">
        <v>1</v>
      </c>
      <c r="E53" s="9" t="s">
        <v>168</v>
      </c>
      <c r="H53" s="8" t="s">
        <v>19</v>
      </c>
      <c r="I53" s="6" t="s">
        <v>51</v>
      </c>
      <c r="J53" t="s">
        <v>40</v>
      </c>
      <c r="K53" s="9"/>
      <c r="L53" s="18" t="s">
        <v>56</v>
      </c>
      <c r="O53" s="116" t="s">
        <v>273</v>
      </c>
      <c r="R53" t="s">
        <v>423</v>
      </c>
      <c r="S53" t="s">
        <v>423</v>
      </c>
    </row>
    <row r="54" spans="1:22" outlineLevel="1" x14ac:dyDescent="0.45">
      <c r="A54" s="6" t="str">
        <f t="shared" si="0"/>
        <v>01-</v>
      </c>
      <c r="B54" s="8" t="s">
        <v>19</v>
      </c>
      <c r="C54" s="9" t="str">
        <f>VLOOKUP(B54,ГПок!$B:$E,2,0)</f>
        <v>Продажи\контрактация</v>
      </c>
      <c r="D54" s="12">
        <v>1</v>
      </c>
      <c r="E54" s="9" t="s">
        <v>168</v>
      </c>
      <c r="H54" s="8" t="s">
        <v>158</v>
      </c>
      <c r="I54" s="10" t="s">
        <v>11</v>
      </c>
      <c r="J54" t="s">
        <v>40</v>
      </c>
      <c r="K54" s="9"/>
      <c r="L54" s="18" t="s">
        <v>56</v>
      </c>
      <c r="O54" s="116" t="s">
        <v>273</v>
      </c>
      <c r="R54" t="s">
        <v>423</v>
      </c>
      <c r="S54" t="s">
        <v>423</v>
      </c>
    </row>
    <row r="55" spans="1:22" outlineLevel="1" x14ac:dyDescent="0.45">
      <c r="A55" s="6" t="str">
        <f t="shared" si="0"/>
        <v>01-</v>
      </c>
      <c r="B55" s="8" t="s">
        <v>19</v>
      </c>
      <c r="C55" s="9" t="str">
        <f>VLOOKUP(B55,ГПок!$B:$E,2,0)</f>
        <v>Продажи\контрактация</v>
      </c>
      <c r="D55" s="12">
        <v>1</v>
      </c>
      <c r="E55" s="9" t="s">
        <v>168</v>
      </c>
      <c r="H55" s="8" t="s">
        <v>161</v>
      </c>
      <c r="I55" s="10"/>
      <c r="J55" t="s">
        <v>40</v>
      </c>
      <c r="K55" s="9"/>
      <c r="L55" s="18" t="s">
        <v>56</v>
      </c>
      <c r="O55" s="116" t="s">
        <v>273</v>
      </c>
      <c r="R55" t="s">
        <v>423</v>
      </c>
      <c r="S55" t="s">
        <v>423</v>
      </c>
    </row>
    <row r="56" spans="1:22" x14ac:dyDescent="0.45">
      <c r="A56" s="6" t="str">
        <f t="shared" si="0"/>
        <v>02-01</v>
      </c>
      <c r="B56" s="8" t="s">
        <v>20</v>
      </c>
      <c r="C56" s="9" t="str">
        <f>VLOOKUP(B56,ГПок!$B:$E,2,0)</f>
        <v>Поступления</v>
      </c>
      <c r="D56" s="12">
        <v>1</v>
      </c>
      <c r="E56" s="9" t="s">
        <v>168</v>
      </c>
      <c r="F56" s="8" t="s">
        <v>19</v>
      </c>
      <c r="G56" t="s">
        <v>95</v>
      </c>
      <c r="H56" s="9"/>
      <c r="I56" s="18" t="s">
        <v>156</v>
      </c>
      <c r="J56" t="s">
        <v>40</v>
      </c>
      <c r="K56" s="9"/>
      <c r="L56" s="18" t="s">
        <v>443</v>
      </c>
      <c r="O56" s="116" t="s">
        <v>273</v>
      </c>
      <c r="R56" t="s">
        <v>423</v>
      </c>
      <c r="S56" t="s">
        <v>423</v>
      </c>
    </row>
    <row r="57" spans="1:22" outlineLevel="1" x14ac:dyDescent="0.45">
      <c r="A57" s="6" t="str">
        <f t="shared" si="0"/>
        <v>02-</v>
      </c>
      <c r="B57" s="8" t="s">
        <v>20</v>
      </c>
      <c r="C57" s="9" t="str">
        <f>VLOOKUP(B57,ГПок!$B:$E,2,0)</f>
        <v>Поступления</v>
      </c>
      <c r="D57" s="12">
        <v>1</v>
      </c>
      <c r="E57" s="9" t="s">
        <v>168</v>
      </c>
      <c r="H57" s="8" t="s">
        <v>19</v>
      </c>
      <c r="I57" s="6" t="s">
        <v>51</v>
      </c>
      <c r="J57" t="s">
        <v>40</v>
      </c>
      <c r="K57" s="9"/>
      <c r="O57" s="116" t="s">
        <v>273</v>
      </c>
      <c r="R57" t="s">
        <v>423</v>
      </c>
      <c r="S57" t="s">
        <v>423</v>
      </c>
    </row>
    <row r="58" spans="1:22" outlineLevel="1" x14ac:dyDescent="0.45">
      <c r="A58" s="6" t="str">
        <f t="shared" si="0"/>
        <v>02-</v>
      </c>
      <c r="B58" s="8" t="s">
        <v>20</v>
      </c>
      <c r="C58" s="9" t="str">
        <f>VLOOKUP(B58,ГПок!$B:$E,2,0)</f>
        <v>Поступления</v>
      </c>
      <c r="D58" s="12">
        <v>1</v>
      </c>
      <c r="E58" s="9" t="s">
        <v>168</v>
      </c>
      <c r="H58" s="8" t="s">
        <v>158</v>
      </c>
      <c r="I58" s="10" t="s">
        <v>11</v>
      </c>
      <c r="J58" t="s">
        <v>40</v>
      </c>
      <c r="K58" s="9"/>
      <c r="O58" s="116" t="s">
        <v>273</v>
      </c>
      <c r="R58" t="s">
        <v>423</v>
      </c>
      <c r="S58" t="s">
        <v>423</v>
      </c>
    </row>
    <row r="59" spans="1:22" outlineLevel="1" x14ac:dyDescent="0.45">
      <c r="A59" s="6" t="str">
        <f t="shared" si="0"/>
        <v>02-</v>
      </c>
      <c r="B59" s="8" t="s">
        <v>20</v>
      </c>
      <c r="C59" s="9" t="str">
        <f>VLOOKUP(B59,ГПок!$B:$E,2,0)</f>
        <v>Поступления</v>
      </c>
      <c r="D59" s="12">
        <v>1</v>
      </c>
      <c r="E59" s="9" t="s">
        <v>168</v>
      </c>
      <c r="H59" s="8" t="s">
        <v>161</v>
      </c>
      <c r="I59" s="10"/>
      <c r="J59" t="s">
        <v>40</v>
      </c>
      <c r="K59" s="9"/>
      <c r="O59" s="116" t="s">
        <v>273</v>
      </c>
      <c r="R59" t="s">
        <v>423</v>
      </c>
      <c r="S59" t="s">
        <v>423</v>
      </c>
    </row>
    <row r="60" spans="1:22" x14ac:dyDescent="0.45">
      <c r="A60" s="6" t="str">
        <f t="shared" si="0"/>
        <v>02-02</v>
      </c>
      <c r="B60" s="8" t="s">
        <v>20</v>
      </c>
      <c r="C60" s="9" t="str">
        <f>VLOOKUP(B60,ГПок!$B:$E,2,0)</f>
        <v>Поступления</v>
      </c>
      <c r="D60" s="12">
        <v>1</v>
      </c>
      <c r="E60" s="9" t="s">
        <v>168</v>
      </c>
      <c r="F60" s="8" t="s">
        <v>20</v>
      </c>
      <c r="G60" t="s">
        <v>422</v>
      </c>
      <c r="J60" t="s">
        <v>40</v>
      </c>
      <c r="K60" s="9"/>
      <c r="O60" s="116" t="s">
        <v>273</v>
      </c>
      <c r="R60" t="s">
        <v>423</v>
      </c>
      <c r="S60" t="s">
        <v>423</v>
      </c>
    </row>
    <row r="61" spans="1:22" x14ac:dyDescent="0.45">
      <c r="A61" s="6" t="str">
        <f t="shared" si="0"/>
        <v>02-03</v>
      </c>
      <c r="B61" s="8" t="s">
        <v>20</v>
      </c>
      <c r="C61" s="9" t="str">
        <f>VLOOKUP(B61,ГПок!$B:$E,2,0)</f>
        <v>Поступления</v>
      </c>
      <c r="D61" s="12">
        <v>1</v>
      </c>
      <c r="E61" s="9" t="s">
        <v>168</v>
      </c>
      <c r="F61" s="8" t="s">
        <v>24</v>
      </c>
      <c r="G61" t="s">
        <v>296</v>
      </c>
      <c r="J61" t="s">
        <v>40</v>
      </c>
      <c r="K61" s="9"/>
      <c r="O61" s="116" t="s">
        <v>273</v>
      </c>
      <c r="R61" t="s">
        <v>423</v>
      </c>
      <c r="S61" t="s">
        <v>423</v>
      </c>
    </row>
    <row r="62" spans="1:22" x14ac:dyDescent="0.45">
      <c r="A62" s="6" t="str">
        <f t="shared" si="0"/>
        <v>02-04</v>
      </c>
      <c r="B62" s="8" t="s">
        <v>20</v>
      </c>
      <c r="C62" s="9" t="str">
        <f>VLOOKUP(B62,ГПок!$B:$E,2,0)</f>
        <v>Поступления</v>
      </c>
      <c r="D62" s="12">
        <v>1</v>
      </c>
      <c r="E62" s="9" t="s">
        <v>168</v>
      </c>
      <c r="F62" s="8" t="s">
        <v>25</v>
      </c>
      <c r="G62" t="s">
        <v>297</v>
      </c>
      <c r="J62" t="s">
        <v>40</v>
      </c>
      <c r="K62" s="9"/>
      <c r="O62" s="116" t="s">
        <v>273</v>
      </c>
      <c r="R62" t="s">
        <v>423</v>
      </c>
      <c r="S62" t="s">
        <v>423</v>
      </c>
    </row>
    <row r="63" spans="1:22" x14ac:dyDescent="0.45">
      <c r="A63" s="6" t="str">
        <f t="shared" si="0"/>
        <v>02-05</v>
      </c>
      <c r="B63" s="8" t="s">
        <v>20</v>
      </c>
      <c r="C63" s="9" t="str">
        <f>VLOOKUP(B63,ГПок!$B:$E,2,0)</f>
        <v>Поступления</v>
      </c>
      <c r="D63" s="12">
        <v>1</v>
      </c>
      <c r="E63" s="9" t="s">
        <v>168</v>
      </c>
      <c r="F63" s="8" t="s">
        <v>26</v>
      </c>
      <c r="G63" t="s">
        <v>298</v>
      </c>
      <c r="J63" t="s">
        <v>40</v>
      </c>
      <c r="K63" s="9"/>
      <c r="O63" s="116" t="s">
        <v>273</v>
      </c>
      <c r="R63" t="s">
        <v>423</v>
      </c>
      <c r="S63" t="s">
        <v>423</v>
      </c>
    </row>
    <row r="64" spans="1:22" x14ac:dyDescent="0.45">
      <c r="A64" s="6" t="str">
        <f t="shared" ref="A64:A90" si="3">B64&amp;"-"&amp;F64</f>
        <v>02-06</v>
      </c>
      <c r="B64" s="8" t="s">
        <v>20</v>
      </c>
      <c r="C64" s="9" t="str">
        <f>VLOOKUP(B64,ГПок!$B:$E,2,0)</f>
        <v>Поступления</v>
      </c>
      <c r="D64" s="12">
        <v>2</v>
      </c>
      <c r="E64" s="9" t="s">
        <v>170</v>
      </c>
      <c r="F64" s="8" t="s">
        <v>35</v>
      </c>
      <c r="G64" t="s">
        <v>189</v>
      </c>
      <c r="J64" t="s">
        <v>40</v>
      </c>
      <c r="K64" s="9"/>
      <c r="O64" s="116" t="s">
        <v>273</v>
      </c>
      <c r="R64" t="s">
        <v>423</v>
      </c>
      <c r="S64" t="s">
        <v>423</v>
      </c>
    </row>
    <row r="65" spans="1:19" x14ac:dyDescent="0.45">
      <c r="A65" s="6" t="str">
        <f t="shared" si="3"/>
        <v>02-07</v>
      </c>
      <c r="B65" s="8" t="s">
        <v>20</v>
      </c>
      <c r="C65" s="9" t="str">
        <f>VLOOKUP(B65,ГПок!$B:$E,2,0)</f>
        <v>Поступления</v>
      </c>
      <c r="D65" s="12">
        <v>3</v>
      </c>
      <c r="E65" s="9" t="s">
        <v>169</v>
      </c>
      <c r="F65" s="8" t="s">
        <v>37</v>
      </c>
      <c r="G65" t="s">
        <v>188</v>
      </c>
      <c r="J65" t="s">
        <v>40</v>
      </c>
      <c r="K65" s="9"/>
      <c r="O65" s="116" t="s">
        <v>273</v>
      </c>
      <c r="R65" t="s">
        <v>423</v>
      </c>
      <c r="S65" t="s">
        <v>423</v>
      </c>
    </row>
    <row r="66" spans="1:19" x14ac:dyDescent="0.45">
      <c r="A66" s="6" t="str">
        <f t="shared" si="3"/>
        <v>03-01</v>
      </c>
      <c r="B66" s="8" t="s">
        <v>24</v>
      </c>
      <c r="C66" s="9" t="str">
        <f>VLOOKUP(B66,ГПок!$B:$E,2,0)</f>
        <v>Коммерческие расходы</v>
      </c>
      <c r="D66" s="12">
        <v>1</v>
      </c>
      <c r="E66" s="9" t="s">
        <v>168</v>
      </c>
      <c r="F66" s="8" t="s">
        <v>19</v>
      </c>
      <c r="G66" t="s">
        <v>277</v>
      </c>
      <c r="J66" t="s">
        <v>40</v>
      </c>
      <c r="K66" s="9"/>
      <c r="O66" s="116" t="s">
        <v>273</v>
      </c>
      <c r="R66" t="s">
        <v>423</v>
      </c>
      <c r="S66" t="s">
        <v>423</v>
      </c>
    </row>
    <row r="67" spans="1:19" x14ac:dyDescent="0.45">
      <c r="A67" s="6" t="str">
        <f t="shared" si="3"/>
        <v>03-02</v>
      </c>
      <c r="B67" s="8" t="s">
        <v>24</v>
      </c>
      <c r="C67" s="9" t="str">
        <f>VLOOKUP(B67,ГПок!$B:$E,2,0)</f>
        <v>Коммерческие расходы</v>
      </c>
      <c r="D67" s="12">
        <v>1</v>
      </c>
      <c r="E67" s="9" t="s">
        <v>168</v>
      </c>
      <c r="F67" s="8" t="s">
        <v>20</v>
      </c>
      <c r="G67" t="s">
        <v>278</v>
      </c>
      <c r="J67" t="s">
        <v>40</v>
      </c>
      <c r="K67" s="9"/>
      <c r="O67" s="116" t="s">
        <v>273</v>
      </c>
      <c r="R67" t="s">
        <v>423</v>
      </c>
      <c r="S67" t="s">
        <v>423</v>
      </c>
    </row>
    <row r="68" spans="1:19" x14ac:dyDescent="0.45">
      <c r="A68" s="6" t="str">
        <f t="shared" si="3"/>
        <v>03-03</v>
      </c>
      <c r="B68" s="8" t="s">
        <v>24</v>
      </c>
      <c r="C68" s="9" t="str">
        <f>VLOOKUP(B68,ГПок!$B:$E,2,0)</f>
        <v>Коммерческие расходы</v>
      </c>
      <c r="D68" s="12">
        <v>1</v>
      </c>
      <c r="E68" s="9" t="s">
        <v>168</v>
      </c>
      <c r="F68" s="8" t="s">
        <v>24</v>
      </c>
      <c r="G68" t="s">
        <v>279</v>
      </c>
      <c r="J68" t="s">
        <v>40</v>
      </c>
      <c r="K68" s="9"/>
      <c r="O68" s="116" t="s">
        <v>273</v>
      </c>
      <c r="R68" t="s">
        <v>423</v>
      </c>
      <c r="S68" t="s">
        <v>423</v>
      </c>
    </row>
    <row r="69" spans="1:19" x14ac:dyDescent="0.45">
      <c r="A69" s="6" t="str">
        <f t="shared" si="3"/>
        <v>03-04</v>
      </c>
      <c r="B69" s="8" t="s">
        <v>24</v>
      </c>
      <c r="C69" s="9" t="str">
        <f>VLOOKUP(B69,ГПок!$B:$E,2,0)</f>
        <v>Коммерческие расходы</v>
      </c>
      <c r="D69" s="12">
        <v>1</v>
      </c>
      <c r="E69" s="9" t="s">
        <v>168</v>
      </c>
      <c r="F69" s="8" t="s">
        <v>25</v>
      </c>
      <c r="G69" t="s">
        <v>280</v>
      </c>
      <c r="J69" t="s">
        <v>40</v>
      </c>
      <c r="K69" s="9"/>
      <c r="O69" s="116" t="s">
        <v>273</v>
      </c>
      <c r="R69" t="s">
        <v>423</v>
      </c>
      <c r="S69" t="s">
        <v>423</v>
      </c>
    </row>
    <row r="70" spans="1:19" x14ac:dyDescent="0.45">
      <c r="A70" s="6" t="str">
        <f t="shared" si="3"/>
        <v>04-01</v>
      </c>
      <c r="B70" s="8" t="s">
        <v>25</v>
      </c>
      <c r="C70" s="9" t="str">
        <f>VLOOKUP(B70,ГПок!$B:$E,2,0)</f>
        <v>ЗУ и ИРД</v>
      </c>
      <c r="D70" s="12">
        <v>2</v>
      </c>
      <c r="E70" s="9" t="s">
        <v>170</v>
      </c>
      <c r="F70" s="8" t="s">
        <v>19</v>
      </c>
      <c r="G70" t="s">
        <v>300</v>
      </c>
      <c r="J70" t="s">
        <v>40</v>
      </c>
      <c r="K70" s="9"/>
      <c r="N70" s="62" t="s">
        <v>273</v>
      </c>
      <c r="O70" s="116" t="s">
        <v>273</v>
      </c>
      <c r="R70" t="s">
        <v>423</v>
      </c>
      <c r="S70" t="s">
        <v>423</v>
      </c>
    </row>
    <row r="71" spans="1:19" x14ac:dyDescent="0.45">
      <c r="A71" s="6" t="str">
        <f t="shared" si="3"/>
        <v>04-02</v>
      </c>
      <c r="B71" s="8" t="s">
        <v>25</v>
      </c>
      <c r="C71" s="9" t="str">
        <f>VLOOKUP(B71,ГПок!$B:$E,2,0)</f>
        <v>ЗУ и ИРД</v>
      </c>
      <c r="D71" s="12">
        <v>2</v>
      </c>
      <c r="E71" s="9" t="s">
        <v>170</v>
      </c>
      <c r="F71" s="8" t="s">
        <v>20</v>
      </c>
      <c r="G71" t="s">
        <v>301</v>
      </c>
      <c r="J71" t="s">
        <v>40</v>
      </c>
      <c r="K71" s="9"/>
      <c r="O71" s="116" t="s">
        <v>273</v>
      </c>
      <c r="R71" t="s">
        <v>423</v>
      </c>
      <c r="S71" t="s">
        <v>423</v>
      </c>
    </row>
    <row r="72" spans="1:19" x14ac:dyDescent="0.45">
      <c r="A72" s="6" t="str">
        <f t="shared" si="3"/>
        <v>04-03</v>
      </c>
      <c r="B72" s="8" t="s">
        <v>25</v>
      </c>
      <c r="C72" s="9" t="str">
        <f>VLOOKUP(B72,ГПок!$B:$E,2,0)</f>
        <v>ЗУ и ИРД</v>
      </c>
      <c r="D72" s="12">
        <v>2</v>
      </c>
      <c r="E72" s="9" t="s">
        <v>170</v>
      </c>
      <c r="F72" s="8" t="s">
        <v>24</v>
      </c>
      <c r="G72" t="s">
        <v>302</v>
      </c>
      <c r="J72" t="s">
        <v>40</v>
      </c>
      <c r="K72" s="9"/>
      <c r="O72" s="116" t="s">
        <v>273</v>
      </c>
      <c r="R72" t="s">
        <v>423</v>
      </c>
      <c r="S72" t="s">
        <v>423</v>
      </c>
    </row>
    <row r="73" spans="1:19" ht="14.25" customHeight="1" x14ac:dyDescent="0.45">
      <c r="A73" s="6" t="str">
        <f t="shared" si="3"/>
        <v>05-04</v>
      </c>
      <c r="B73" s="8" t="s">
        <v>26</v>
      </c>
      <c r="C73" s="9" t="str">
        <f>VLOOKUP(B73,ГПок!$B:$E,2,0)</f>
        <v>Проектирование и СМР</v>
      </c>
      <c r="D73" s="12">
        <v>2</v>
      </c>
      <c r="E73" s="9" t="s">
        <v>170</v>
      </c>
      <c r="F73" s="8" t="s">
        <v>25</v>
      </c>
      <c r="G73" t="s">
        <v>263</v>
      </c>
      <c r="J73" t="s">
        <v>40</v>
      </c>
      <c r="K73" s="9"/>
      <c r="O73" s="116" t="s">
        <v>273</v>
      </c>
      <c r="R73" t="s">
        <v>423</v>
      </c>
      <c r="S73" t="s">
        <v>423</v>
      </c>
    </row>
    <row r="74" spans="1:19" ht="14.25" customHeight="1" x14ac:dyDescent="0.45">
      <c r="A74" s="6" t="str">
        <f t="shared" si="3"/>
        <v>05-05</v>
      </c>
      <c r="B74" s="8" t="s">
        <v>26</v>
      </c>
      <c r="C74" s="9" t="str">
        <f>VLOOKUP(B74,ГПок!$B:$E,2,0)</f>
        <v>Проектирование и СМР</v>
      </c>
      <c r="D74" s="12">
        <v>2</v>
      </c>
      <c r="E74" s="9" t="s">
        <v>170</v>
      </c>
      <c r="F74" s="8" t="s">
        <v>26</v>
      </c>
      <c r="G74" t="s">
        <v>264</v>
      </c>
      <c r="J74" t="s">
        <v>40</v>
      </c>
      <c r="K74" s="9"/>
      <c r="O74" s="116" t="s">
        <v>273</v>
      </c>
      <c r="R74" t="s">
        <v>423</v>
      </c>
      <c r="S74" t="s">
        <v>423</v>
      </c>
    </row>
    <row r="75" spans="1:19" x14ac:dyDescent="0.45">
      <c r="A75" s="6" t="str">
        <f t="shared" si="3"/>
        <v>05-06</v>
      </c>
      <c r="B75" s="8" t="s">
        <v>26</v>
      </c>
      <c r="C75" s="9" t="str">
        <f>VLOOKUP(B75,ГПок!$B:$E,2,0)</f>
        <v>Проектирование и СМР</v>
      </c>
      <c r="D75" s="12">
        <v>2</v>
      </c>
      <c r="E75" s="9" t="s">
        <v>170</v>
      </c>
      <c r="F75" s="8" t="s">
        <v>35</v>
      </c>
      <c r="G75" t="s">
        <v>265</v>
      </c>
      <c r="J75" t="s">
        <v>40</v>
      </c>
      <c r="K75" s="9"/>
      <c r="O75" s="116" t="s">
        <v>273</v>
      </c>
      <c r="R75" t="s">
        <v>423</v>
      </c>
      <c r="S75" t="s">
        <v>423</v>
      </c>
    </row>
    <row r="76" spans="1:19" x14ac:dyDescent="0.45">
      <c r="A76" s="6" t="str">
        <f t="shared" si="3"/>
        <v>05-07</v>
      </c>
      <c r="B76" s="8" t="s">
        <v>26</v>
      </c>
      <c r="C76" s="9" t="str">
        <f>VLOOKUP(B76,ГПок!$B:$E,2,0)</f>
        <v>Проектирование и СМР</v>
      </c>
      <c r="D76" s="12">
        <v>2</v>
      </c>
      <c r="E76" s="9" t="s">
        <v>170</v>
      </c>
      <c r="F76" s="8" t="s">
        <v>37</v>
      </c>
      <c r="G76" t="s">
        <v>185</v>
      </c>
      <c r="J76" t="s">
        <v>40</v>
      </c>
      <c r="K76" s="9"/>
      <c r="O76" s="116" t="s">
        <v>273</v>
      </c>
      <c r="R76" t="s">
        <v>423</v>
      </c>
      <c r="S76" t="s">
        <v>423</v>
      </c>
    </row>
    <row r="77" spans="1:19" x14ac:dyDescent="0.45">
      <c r="A77" s="6" t="str">
        <f t="shared" si="3"/>
        <v>05-08</v>
      </c>
      <c r="B77" s="8" t="s">
        <v>26</v>
      </c>
      <c r="C77" s="9" t="str">
        <f>VLOOKUP(B77,ГПок!$B:$E,2,0)</f>
        <v>Проектирование и СМР</v>
      </c>
      <c r="D77" s="12">
        <v>2</v>
      </c>
      <c r="E77" s="9" t="s">
        <v>170</v>
      </c>
      <c r="F77" s="8" t="s">
        <v>48</v>
      </c>
      <c r="G77" t="s">
        <v>23</v>
      </c>
      <c r="H77" s="9"/>
      <c r="I77" s="18" t="s">
        <v>129</v>
      </c>
      <c r="J77" t="s">
        <v>40</v>
      </c>
      <c r="K77" s="9"/>
      <c r="P77" t="s">
        <v>273</v>
      </c>
      <c r="R77" t="s">
        <v>423</v>
      </c>
      <c r="S77" t="s">
        <v>423</v>
      </c>
    </row>
    <row r="78" spans="1:19" outlineLevel="1" x14ac:dyDescent="0.45">
      <c r="A78" s="6" t="str">
        <f t="shared" si="3"/>
        <v>05-</v>
      </c>
      <c r="B78" s="8" t="s">
        <v>26</v>
      </c>
      <c r="C78" s="9" t="str">
        <f>VLOOKUP(B78,ГПок!$B:$E,2,0)</f>
        <v>Проектирование и СМР</v>
      </c>
      <c r="D78" s="12">
        <v>2</v>
      </c>
      <c r="E78" s="9" t="s">
        <v>170</v>
      </c>
      <c r="H78" s="8" t="s">
        <v>19</v>
      </c>
      <c r="I78" s="6" t="s">
        <v>162</v>
      </c>
      <c r="J78" t="s">
        <v>40</v>
      </c>
      <c r="K78" s="9"/>
      <c r="P78" t="s">
        <v>273</v>
      </c>
      <c r="R78" t="s">
        <v>423</v>
      </c>
      <c r="S78" t="s">
        <v>423</v>
      </c>
    </row>
    <row r="79" spans="1:19" outlineLevel="1" x14ac:dyDescent="0.45">
      <c r="A79" s="6" t="str">
        <f t="shared" si="3"/>
        <v>05-</v>
      </c>
      <c r="B79" s="8" t="s">
        <v>26</v>
      </c>
      <c r="C79" s="9" t="str">
        <f>VLOOKUP(B79,ГПок!$B:$E,2,0)</f>
        <v>Проектирование и СМР</v>
      </c>
      <c r="D79" s="12">
        <v>2</v>
      </c>
      <c r="E79" s="9" t="s">
        <v>170</v>
      </c>
      <c r="H79" s="8" t="s">
        <v>20</v>
      </c>
      <c r="I79" s="6" t="s">
        <v>14</v>
      </c>
      <c r="J79" t="s">
        <v>40</v>
      </c>
      <c r="K79" s="9"/>
      <c r="P79" t="s">
        <v>273</v>
      </c>
      <c r="R79" t="s">
        <v>423</v>
      </c>
      <c r="S79" t="s">
        <v>423</v>
      </c>
    </row>
    <row r="80" spans="1:19" outlineLevel="1" x14ac:dyDescent="0.45">
      <c r="A80" s="6" t="str">
        <f t="shared" si="3"/>
        <v>05-</v>
      </c>
      <c r="B80" s="8" t="s">
        <v>26</v>
      </c>
      <c r="C80" s="9" t="str">
        <f>VLOOKUP(B80,ГПок!$B:$E,2,0)</f>
        <v>Проектирование и СМР</v>
      </c>
      <c r="D80" s="12">
        <v>2</v>
      </c>
      <c r="E80" s="9" t="s">
        <v>170</v>
      </c>
      <c r="H80" s="8" t="s">
        <v>161</v>
      </c>
      <c r="I80" s="6"/>
      <c r="J80" t="s">
        <v>40</v>
      </c>
      <c r="K80" s="9"/>
      <c r="P80" t="s">
        <v>273</v>
      </c>
      <c r="R80" t="s">
        <v>423</v>
      </c>
      <c r="S80" t="s">
        <v>423</v>
      </c>
    </row>
    <row r="81" spans="1:19" x14ac:dyDescent="0.45">
      <c r="A81" s="6" t="str">
        <f t="shared" si="3"/>
        <v>05-09</v>
      </c>
      <c r="B81" s="8" t="s">
        <v>26</v>
      </c>
      <c r="C81" s="9" t="str">
        <f>VLOOKUP(B81,ГПок!$B:$E,2,0)</f>
        <v>Проектирование и СМР</v>
      </c>
      <c r="D81" s="12">
        <v>2</v>
      </c>
      <c r="E81" s="9" t="s">
        <v>170</v>
      </c>
      <c r="F81" s="8" t="s">
        <v>49</v>
      </c>
      <c r="G81" t="s">
        <v>361</v>
      </c>
      <c r="H81" s="8"/>
      <c r="I81" s="6"/>
      <c r="J81" t="s">
        <v>40</v>
      </c>
      <c r="K81" s="9"/>
      <c r="R81" t="s">
        <v>423</v>
      </c>
      <c r="S81" t="s">
        <v>423</v>
      </c>
    </row>
    <row r="82" spans="1:19" x14ac:dyDescent="0.45">
      <c r="A82" s="6" t="str">
        <f t="shared" si="3"/>
        <v>05-10</v>
      </c>
      <c r="B82" s="8" t="s">
        <v>26</v>
      </c>
      <c r="C82" s="9" t="str">
        <f>VLOOKUP(B82,ГПок!$B:$E,2,0)</f>
        <v>Проектирование и СМР</v>
      </c>
      <c r="D82" s="12">
        <v>2</v>
      </c>
      <c r="E82" s="9" t="s">
        <v>170</v>
      </c>
      <c r="F82" s="8" t="s">
        <v>377</v>
      </c>
      <c r="G82" t="s">
        <v>266</v>
      </c>
      <c r="H82" s="8"/>
      <c r="I82" s="6"/>
      <c r="J82" t="s">
        <v>40</v>
      </c>
      <c r="K82" s="9"/>
      <c r="P82" t="s">
        <v>273</v>
      </c>
      <c r="R82" t="s">
        <v>423</v>
      </c>
      <c r="S82" t="s">
        <v>423</v>
      </c>
    </row>
    <row r="83" spans="1:19" x14ac:dyDescent="0.45">
      <c r="A83" s="6" t="str">
        <f t="shared" si="3"/>
        <v>05-11</v>
      </c>
      <c r="B83" s="8" t="s">
        <v>26</v>
      </c>
      <c r="C83" s="9" t="str">
        <f>VLOOKUP(B83,ГПок!$B:$E,2,0)</f>
        <v>Проектирование и СМР</v>
      </c>
      <c r="D83" s="12">
        <v>2</v>
      </c>
      <c r="E83" s="9" t="s">
        <v>170</v>
      </c>
      <c r="F83" s="8" t="s">
        <v>452</v>
      </c>
      <c r="G83" t="s">
        <v>268</v>
      </c>
      <c r="H83" s="8"/>
      <c r="I83" s="6"/>
      <c r="J83" t="s">
        <v>40</v>
      </c>
      <c r="K83" s="9"/>
      <c r="P83" t="s">
        <v>273</v>
      </c>
      <c r="R83" t="s">
        <v>423</v>
      </c>
      <c r="S83" t="s">
        <v>423</v>
      </c>
    </row>
    <row r="84" spans="1:19" x14ac:dyDescent="0.45">
      <c r="A84" s="6" t="str">
        <f t="shared" si="3"/>
        <v>05-12</v>
      </c>
      <c r="B84" s="8" t="s">
        <v>26</v>
      </c>
      <c r="C84" s="9" t="str">
        <f>VLOOKUP(B84,ГПок!$B:$E,2,0)</f>
        <v>Проектирование и СМР</v>
      </c>
      <c r="D84" s="12">
        <v>2</v>
      </c>
      <c r="E84" s="9" t="s">
        <v>170</v>
      </c>
      <c r="F84" s="8" t="s">
        <v>453</v>
      </c>
      <c r="G84" t="s">
        <v>267</v>
      </c>
      <c r="H84" s="8"/>
      <c r="I84" s="6"/>
      <c r="J84" t="s">
        <v>40</v>
      </c>
      <c r="K84" s="9"/>
      <c r="P84" t="s">
        <v>273</v>
      </c>
      <c r="R84" t="s">
        <v>423</v>
      </c>
      <c r="S84" t="s">
        <v>423</v>
      </c>
    </row>
    <row r="85" spans="1:19" x14ac:dyDescent="0.45">
      <c r="A85" s="6" t="str">
        <f t="shared" si="3"/>
        <v>05-13</v>
      </c>
      <c r="B85" s="8" t="s">
        <v>26</v>
      </c>
      <c r="C85" s="9" t="str">
        <f>VLOOKUP(B85,ГПок!$B:$E,2,0)</f>
        <v>Проектирование и СМР</v>
      </c>
      <c r="D85" s="12">
        <v>2</v>
      </c>
      <c r="E85" s="9" t="s">
        <v>170</v>
      </c>
      <c r="F85" s="8" t="s">
        <v>454</v>
      </c>
      <c r="G85" t="s">
        <v>191</v>
      </c>
      <c r="H85" s="8"/>
      <c r="I85" s="6"/>
      <c r="J85" t="s">
        <v>40</v>
      </c>
      <c r="K85" s="9"/>
      <c r="O85" s="116" t="s">
        <v>273</v>
      </c>
      <c r="R85" t="s">
        <v>423</v>
      </c>
      <c r="S85" t="s">
        <v>423</v>
      </c>
    </row>
    <row r="86" spans="1:19" x14ac:dyDescent="0.45">
      <c r="A86" s="6" t="str">
        <f t="shared" si="3"/>
        <v>05-14</v>
      </c>
      <c r="B86" s="8" t="s">
        <v>26</v>
      </c>
      <c r="C86" s="9" t="str">
        <f>VLOOKUP(B86,ГПок!$B:$E,2,0)</f>
        <v>Проектирование и СМР</v>
      </c>
      <c r="D86" s="12">
        <v>2</v>
      </c>
      <c r="E86" s="9" t="s">
        <v>170</v>
      </c>
      <c r="F86" s="8" t="s">
        <v>455</v>
      </c>
      <c r="G86" t="s">
        <v>269</v>
      </c>
      <c r="H86" s="8"/>
      <c r="I86" s="6"/>
      <c r="J86" t="s">
        <v>40</v>
      </c>
      <c r="K86" s="9"/>
      <c r="N86" s="62" t="s">
        <v>273</v>
      </c>
      <c r="O86" s="116" t="s">
        <v>273</v>
      </c>
      <c r="R86" t="s">
        <v>423</v>
      </c>
      <c r="S86" t="s">
        <v>423</v>
      </c>
    </row>
    <row r="87" spans="1:19" x14ac:dyDescent="0.45">
      <c r="A87" s="6" t="str">
        <f t="shared" si="3"/>
        <v>05-15</v>
      </c>
      <c r="B87" s="8" t="s">
        <v>26</v>
      </c>
      <c r="C87" s="9" t="str">
        <f>VLOOKUP(B87,ГПок!$B:$E,2,0)</f>
        <v>Проектирование и СМР</v>
      </c>
      <c r="D87" s="12">
        <v>2</v>
      </c>
      <c r="E87" s="9" t="s">
        <v>170</v>
      </c>
      <c r="F87" s="8" t="s">
        <v>456</v>
      </c>
      <c r="G87" t="s">
        <v>270</v>
      </c>
      <c r="H87" s="8"/>
      <c r="I87" s="6"/>
      <c r="J87" t="s">
        <v>40</v>
      </c>
      <c r="K87" s="9"/>
      <c r="O87" s="116" t="s">
        <v>273</v>
      </c>
      <c r="R87" t="s">
        <v>423</v>
      </c>
      <c r="S87" t="s">
        <v>423</v>
      </c>
    </row>
    <row r="88" spans="1:19" x14ac:dyDescent="0.45">
      <c r="A88" s="6" t="str">
        <f t="shared" si="3"/>
        <v>06-01</v>
      </c>
      <c r="B88" s="8" t="s">
        <v>35</v>
      </c>
      <c r="C88" s="9" t="str">
        <f>VLOOKUP(B88,ГПок!$B:$E,2,0)</f>
        <v>АХР</v>
      </c>
      <c r="D88" s="12">
        <v>2</v>
      </c>
      <c r="E88" s="9" t="s">
        <v>170</v>
      </c>
      <c r="F88" s="8" t="s">
        <v>19</v>
      </c>
      <c r="G88" t="s">
        <v>271</v>
      </c>
      <c r="H88" s="8"/>
      <c r="I88" s="6"/>
      <c r="J88" t="s">
        <v>40</v>
      </c>
      <c r="K88" s="9"/>
      <c r="O88" s="116" t="s">
        <v>273</v>
      </c>
      <c r="R88" t="s">
        <v>423</v>
      </c>
      <c r="S88" t="s">
        <v>423</v>
      </c>
    </row>
    <row r="89" spans="1:19" x14ac:dyDescent="0.45">
      <c r="A89" s="6" t="str">
        <f>B89&amp;"-"&amp;F89</f>
        <v>06-02</v>
      </c>
      <c r="B89" s="8" t="s">
        <v>35</v>
      </c>
      <c r="C89" s="9" t="str">
        <f>VLOOKUP(B89,ГПок!$B:$E,2,0)</f>
        <v>АХР</v>
      </c>
      <c r="D89" s="12">
        <v>2</v>
      </c>
      <c r="E89" s="9" t="s">
        <v>170</v>
      </c>
      <c r="F89" s="8" t="s">
        <v>20</v>
      </c>
      <c r="G89" t="s">
        <v>272</v>
      </c>
      <c r="H89" s="8"/>
      <c r="I89" s="6"/>
      <c r="J89" t="s">
        <v>40</v>
      </c>
      <c r="K89" s="9"/>
      <c r="O89" s="116" t="s">
        <v>273</v>
      </c>
      <c r="R89" t="s">
        <v>423</v>
      </c>
      <c r="S89" t="s">
        <v>423</v>
      </c>
    </row>
    <row r="90" spans="1:19" x14ac:dyDescent="0.45">
      <c r="A90" s="6" t="str">
        <f t="shared" si="3"/>
        <v>06-03</v>
      </c>
      <c r="B90" s="8" t="s">
        <v>35</v>
      </c>
      <c r="C90" s="9" t="str">
        <f>VLOOKUP(B90,ГПок!$B:$E,2,0)</f>
        <v>АХР</v>
      </c>
      <c r="D90" s="12">
        <v>2</v>
      </c>
      <c r="E90" s="9" t="s">
        <v>168</v>
      </c>
      <c r="F90" s="8" t="s">
        <v>24</v>
      </c>
      <c r="G90" t="s">
        <v>492</v>
      </c>
      <c r="J90" t="s">
        <v>40</v>
      </c>
      <c r="K90" s="9"/>
      <c r="R90" t="s">
        <v>423</v>
      </c>
      <c r="S90" t="s">
        <v>423</v>
      </c>
    </row>
    <row r="91" spans="1:19" x14ac:dyDescent="0.45">
      <c r="A91" s="22" t="s">
        <v>190</v>
      </c>
      <c r="B91" s="25" t="s">
        <v>37</v>
      </c>
      <c r="C91" s="91" t="str">
        <f>VLOOKUP(B91,ГПок!$B:$E,2,0)</f>
        <v>Налоги</v>
      </c>
      <c r="D91" s="12">
        <v>2</v>
      </c>
      <c r="E91" s="9" t="s">
        <v>168</v>
      </c>
      <c r="H91" s="8"/>
      <c r="I91" s="10"/>
      <c r="J91" t="s">
        <v>40</v>
      </c>
      <c r="K91" s="9"/>
    </row>
    <row r="92" spans="1:19" x14ac:dyDescent="0.45">
      <c r="A92" s="22" t="s">
        <v>190</v>
      </c>
      <c r="B92" s="25" t="s">
        <v>48</v>
      </c>
      <c r="C92" s="91" t="str">
        <f>VLOOKUP(B92,ГПок!$B:$E,2,0)</f>
        <v>Финансы</v>
      </c>
      <c r="D92" s="12">
        <v>3</v>
      </c>
      <c r="E92" s="9" t="s">
        <v>169</v>
      </c>
    </row>
    <row r="93" spans="1:19" x14ac:dyDescent="0.45">
      <c r="A93" s="6" t="str">
        <f t="shared" ref="A93:A101" si="4">B93&amp;"-"&amp;F93</f>
        <v>09-01</v>
      </c>
      <c r="B93" s="8" t="s">
        <v>49</v>
      </c>
      <c r="C93" s="9" t="str">
        <f>VLOOKUP(B93,ГПок!$B:$E,2,0)</f>
        <v>СРОКИ</v>
      </c>
      <c r="D93" s="12"/>
      <c r="E93" s="6" t="s">
        <v>152</v>
      </c>
      <c r="F93" s="305" t="s">
        <v>19</v>
      </c>
      <c r="G93" s="12" t="s">
        <v>181</v>
      </c>
      <c r="J93" t="s">
        <v>192</v>
      </c>
      <c r="N93" s="62" t="s">
        <v>273</v>
      </c>
      <c r="R93" t="s">
        <v>423</v>
      </c>
    </row>
    <row r="94" spans="1:19" x14ac:dyDescent="0.45">
      <c r="A94" s="6" t="str">
        <f t="shared" si="4"/>
        <v>09-02</v>
      </c>
      <c r="B94" s="8" t="s">
        <v>49</v>
      </c>
      <c r="C94" s="9" t="str">
        <f>VLOOKUP(B94,ГПок!$B:$E,2,0)</f>
        <v>СРОКИ</v>
      </c>
      <c r="D94" s="12"/>
      <c r="E94" s="6" t="s">
        <v>152</v>
      </c>
      <c r="F94" s="305" t="s">
        <v>20</v>
      </c>
      <c r="G94" s="12" t="s">
        <v>182</v>
      </c>
      <c r="J94" t="s">
        <v>192</v>
      </c>
      <c r="N94" s="62" t="s">
        <v>273</v>
      </c>
      <c r="R94" t="s">
        <v>423</v>
      </c>
    </row>
    <row r="95" spans="1:19" x14ac:dyDescent="0.45">
      <c r="A95" s="6" t="str">
        <f t="shared" si="4"/>
        <v>09-03</v>
      </c>
      <c r="B95" s="8" t="s">
        <v>49</v>
      </c>
      <c r="C95" s="9" t="str">
        <f>VLOOKUP(B95,ГПок!$B:$E,2,0)</f>
        <v>СРОКИ</v>
      </c>
      <c r="D95" s="12"/>
      <c r="E95" s="6" t="s">
        <v>152</v>
      </c>
      <c r="F95" s="305" t="s">
        <v>24</v>
      </c>
      <c r="G95" s="20" t="s">
        <v>184</v>
      </c>
      <c r="J95" t="s">
        <v>192</v>
      </c>
      <c r="N95" s="62" t="s">
        <v>273</v>
      </c>
      <c r="R95" t="s">
        <v>423</v>
      </c>
    </row>
    <row r="96" spans="1:19" x14ac:dyDescent="0.45">
      <c r="A96" s="6" t="str">
        <f t="shared" si="4"/>
        <v>09-04</v>
      </c>
      <c r="B96" s="8" t="s">
        <v>49</v>
      </c>
      <c r="C96" s="9" t="str">
        <f>VLOOKUP(B96,ГПок!$B:$E,2,0)</f>
        <v>СРОКИ</v>
      </c>
      <c r="D96" s="12"/>
      <c r="E96" s="6" t="s">
        <v>152</v>
      </c>
      <c r="F96" s="305" t="s">
        <v>25</v>
      </c>
      <c r="G96" s="20" t="s">
        <v>186</v>
      </c>
      <c r="J96" t="s">
        <v>192</v>
      </c>
      <c r="N96" s="62" t="s">
        <v>273</v>
      </c>
      <c r="R96" t="s">
        <v>423</v>
      </c>
    </row>
    <row r="97" spans="1:24" x14ac:dyDescent="0.45">
      <c r="A97" s="6" t="str">
        <f t="shared" si="4"/>
        <v>09-05</v>
      </c>
      <c r="B97" s="8" t="s">
        <v>49</v>
      </c>
      <c r="C97" s="9" t="str">
        <f>VLOOKUP(B97,ГПок!$B:$E,2,0)</f>
        <v>СРОКИ</v>
      </c>
      <c r="D97" s="12"/>
      <c r="E97" s="6" t="s">
        <v>152</v>
      </c>
      <c r="F97" s="305" t="s">
        <v>26</v>
      </c>
      <c r="G97" s="12" t="s">
        <v>179</v>
      </c>
      <c r="J97" t="s">
        <v>192</v>
      </c>
      <c r="O97" s="116" t="s">
        <v>273</v>
      </c>
      <c r="R97" t="s">
        <v>423</v>
      </c>
    </row>
    <row r="98" spans="1:24" x14ac:dyDescent="0.45">
      <c r="A98" s="6" t="str">
        <f t="shared" si="4"/>
        <v>09-06</v>
      </c>
      <c r="B98" s="8" t="s">
        <v>49</v>
      </c>
      <c r="C98" s="9" t="str">
        <f>VLOOKUP(B98,ГПок!$B:$E,2,0)</f>
        <v>СРОКИ</v>
      </c>
      <c r="D98" s="12"/>
      <c r="E98" s="6" t="s">
        <v>152</v>
      </c>
      <c r="F98" s="305" t="s">
        <v>35</v>
      </c>
      <c r="G98" s="12" t="s">
        <v>180</v>
      </c>
      <c r="J98" t="s">
        <v>192</v>
      </c>
      <c r="O98" s="116" t="s">
        <v>273</v>
      </c>
      <c r="R98" t="s">
        <v>423</v>
      </c>
    </row>
    <row r="99" spans="1:24" x14ac:dyDescent="0.45">
      <c r="A99" s="6" t="str">
        <f t="shared" si="4"/>
        <v>09-07</v>
      </c>
      <c r="B99" s="8" t="s">
        <v>49</v>
      </c>
      <c r="C99" s="9" t="str">
        <f>VLOOKUP(B99,ГПок!$B:$E,2,0)</f>
        <v>СРОКИ</v>
      </c>
      <c r="D99" s="12"/>
      <c r="E99" s="6" t="s">
        <v>152</v>
      </c>
      <c r="F99" s="305" t="s">
        <v>37</v>
      </c>
      <c r="G99" s="12" t="s">
        <v>178</v>
      </c>
      <c r="J99" t="s">
        <v>192</v>
      </c>
      <c r="O99" s="116" t="s">
        <v>273</v>
      </c>
      <c r="R99" t="s">
        <v>423</v>
      </c>
    </row>
    <row r="100" spans="1:24" x14ac:dyDescent="0.45">
      <c r="A100" s="6" t="str">
        <f t="shared" si="4"/>
        <v>09-08</v>
      </c>
      <c r="B100" s="8" t="s">
        <v>49</v>
      </c>
      <c r="C100" s="9" t="str">
        <f>VLOOKUP(B100,ГПок!$B:$E,2,0)</f>
        <v>СРОКИ</v>
      </c>
      <c r="D100" s="12"/>
      <c r="E100" s="6" t="s">
        <v>152</v>
      </c>
      <c r="F100" s="305" t="s">
        <v>48</v>
      </c>
      <c r="G100" s="12" t="s">
        <v>183</v>
      </c>
      <c r="J100" t="s">
        <v>192</v>
      </c>
      <c r="L100" s="181" t="s">
        <v>853</v>
      </c>
      <c r="O100" s="117" t="s">
        <v>305</v>
      </c>
      <c r="R100" t="s">
        <v>423</v>
      </c>
    </row>
    <row r="101" spans="1:24" ht="42.75" x14ac:dyDescent="0.45">
      <c r="A101" s="6" t="str">
        <f t="shared" si="4"/>
        <v>09-09</v>
      </c>
      <c r="B101" s="8" t="s">
        <v>49</v>
      </c>
      <c r="C101" s="9" t="str">
        <f>VLOOKUP(B101,ГПок!$B:$E,2,0)</f>
        <v>СРОКИ</v>
      </c>
      <c r="D101" s="12"/>
      <c r="E101" s="6" t="s">
        <v>152</v>
      </c>
      <c r="F101" s="305" t="s">
        <v>49</v>
      </c>
      <c r="G101" s="12" t="s">
        <v>372</v>
      </c>
      <c r="H101" s="9"/>
      <c r="I101" s="18" t="s">
        <v>156</v>
      </c>
      <c r="J101" t="s">
        <v>192</v>
      </c>
      <c r="L101" s="58" t="s">
        <v>544</v>
      </c>
      <c r="O101" s="116" t="s">
        <v>423</v>
      </c>
      <c r="R101" t="s">
        <v>423</v>
      </c>
    </row>
    <row r="102" spans="1:24" x14ac:dyDescent="0.45">
      <c r="C102" s="92"/>
      <c r="H102" s="8" t="s">
        <v>19</v>
      </c>
      <c r="I102" s="6" t="s">
        <v>51</v>
      </c>
      <c r="J102" t="s">
        <v>192</v>
      </c>
    </row>
    <row r="103" spans="1:24" x14ac:dyDescent="0.45">
      <c r="J103" t="s">
        <v>192</v>
      </c>
    </row>
    <row r="104" spans="1:24" s="37" customFormat="1" ht="18" x14ac:dyDescent="0.55000000000000004">
      <c r="A104" s="35" t="s">
        <v>304</v>
      </c>
      <c r="B104" s="35"/>
      <c r="C104" s="35"/>
      <c r="D104" s="36"/>
      <c r="E104" s="35"/>
      <c r="F104" s="35"/>
      <c r="G104" s="35"/>
      <c r="H104" s="35"/>
      <c r="I104" s="35"/>
      <c r="J104" s="35"/>
      <c r="K104" s="35"/>
      <c r="L104" s="35"/>
      <c r="M104" s="35"/>
      <c r="N104" s="75"/>
      <c r="O104" s="118"/>
      <c r="P104" s="35"/>
      <c r="Q104" s="76"/>
      <c r="T104" s="81"/>
      <c r="U104" s="81"/>
      <c r="V104" s="81"/>
      <c r="W104" s="35"/>
      <c r="X104" s="35"/>
    </row>
    <row r="105" spans="1:24" x14ac:dyDescent="0.45">
      <c r="A105" s="6" t="str">
        <f t="shared" ref="A105:A123" si="5">B105&amp;"-"&amp;F105</f>
        <v>71-01</v>
      </c>
      <c r="B105" s="8" t="s">
        <v>282</v>
      </c>
      <c r="C105" s="9" t="str">
        <f>VLOOKUP(B105,ГПок!$B:$E,2,0)</f>
        <v>Плотность</v>
      </c>
      <c r="F105" t="s">
        <v>19</v>
      </c>
      <c r="G105" s="30" t="s">
        <v>193</v>
      </c>
    </row>
    <row r="106" spans="1:24" x14ac:dyDescent="0.45">
      <c r="A106" s="6" t="str">
        <f t="shared" si="5"/>
        <v>71-02</v>
      </c>
      <c r="B106" s="8" t="s">
        <v>282</v>
      </c>
      <c r="C106" s="9" t="str">
        <f>VLOOKUP(B106,ГПок!$B:$E,2,0)</f>
        <v>Плотность</v>
      </c>
      <c r="F106" t="s">
        <v>20</v>
      </c>
      <c r="G106" s="38" t="s">
        <v>299</v>
      </c>
    </row>
    <row r="107" spans="1:24" x14ac:dyDescent="0.45">
      <c r="A107" s="6" t="str">
        <f t="shared" si="5"/>
        <v>72-01</v>
      </c>
      <c r="B107" s="8" t="s">
        <v>283</v>
      </c>
      <c r="C107" s="9" t="str">
        <f>VLOOKUP(B107,ГПок!$B:$E,2,0)</f>
        <v>ЗУ</v>
      </c>
      <c r="F107" t="s">
        <v>19</v>
      </c>
      <c r="G107" s="30" t="s">
        <v>194</v>
      </c>
    </row>
    <row r="108" spans="1:24" x14ac:dyDescent="0.45">
      <c r="A108" s="6" t="str">
        <f t="shared" si="5"/>
        <v>72-02</v>
      </c>
      <c r="B108" s="8" t="s">
        <v>283</v>
      </c>
      <c r="C108" s="9" t="str">
        <f>VLOOKUP(B108,ГПок!$B:$E,2,0)</f>
        <v>ЗУ</v>
      </c>
      <c r="F108" t="s">
        <v>20</v>
      </c>
      <c r="G108" s="30" t="s">
        <v>195</v>
      </c>
    </row>
    <row r="109" spans="1:24" x14ac:dyDescent="0.45">
      <c r="A109" s="6" t="str">
        <f t="shared" si="5"/>
        <v>72-03</v>
      </c>
      <c r="B109" s="8" t="s">
        <v>283</v>
      </c>
      <c r="C109" s="9" t="str">
        <f>VLOOKUP(B109,ГПок!$B:$E,2,0)</f>
        <v>ЗУ</v>
      </c>
      <c r="F109" t="s">
        <v>24</v>
      </c>
      <c r="G109" s="30" t="s">
        <v>196</v>
      </c>
    </row>
    <row r="110" spans="1:24" x14ac:dyDescent="0.45">
      <c r="A110" s="6" t="str">
        <f t="shared" si="5"/>
        <v>72-04</v>
      </c>
      <c r="B110" s="8" t="s">
        <v>283</v>
      </c>
      <c r="C110" s="9" t="str">
        <f>VLOOKUP(B110,ГПок!$B:$E,2,0)</f>
        <v>ЗУ</v>
      </c>
      <c r="F110" t="s">
        <v>25</v>
      </c>
      <c r="G110" s="30" t="s">
        <v>197</v>
      </c>
    </row>
    <row r="111" spans="1:24" x14ac:dyDescent="0.45">
      <c r="A111" s="6" t="str">
        <f t="shared" si="5"/>
        <v>76-01</v>
      </c>
      <c r="B111" s="8" t="s">
        <v>287</v>
      </c>
      <c r="C111" s="9" t="str">
        <f>VLOOKUP(B111,ГПок!$B:$E,2,0)</f>
        <v>Налоги</v>
      </c>
      <c r="F111" t="s">
        <v>19</v>
      </c>
      <c r="G111" s="30" t="s">
        <v>306</v>
      </c>
    </row>
    <row r="112" spans="1:24" x14ac:dyDescent="0.45">
      <c r="A112" s="6" t="str">
        <f t="shared" si="5"/>
        <v>76-02</v>
      </c>
      <c r="B112" s="8" t="s">
        <v>287</v>
      </c>
      <c r="C112" s="9" t="str">
        <f>VLOOKUP(B112,ГПок!$B:$E,2,0)</f>
        <v>Налоги</v>
      </c>
      <c r="F112" t="s">
        <v>20</v>
      </c>
      <c r="G112" s="30" t="s">
        <v>307</v>
      </c>
    </row>
    <row r="113" spans="1:16" x14ac:dyDescent="0.45">
      <c r="A113" s="6" t="str">
        <f t="shared" si="5"/>
        <v>76-03</v>
      </c>
      <c r="B113" s="8" t="s">
        <v>287</v>
      </c>
      <c r="C113" s="9" t="str">
        <f>VLOOKUP(B113,ГПок!$B:$E,2,0)</f>
        <v>Налоги</v>
      </c>
      <c r="F113" t="s">
        <v>24</v>
      </c>
      <c r="G113" s="30" t="s">
        <v>308</v>
      </c>
    </row>
    <row r="114" spans="1:16" x14ac:dyDescent="0.45">
      <c r="A114" s="6" t="str">
        <f t="shared" si="5"/>
        <v>76-04</v>
      </c>
      <c r="B114" s="8" t="s">
        <v>287</v>
      </c>
      <c r="C114" s="9" t="str">
        <f>VLOOKUP(B114,ГПок!$B:$E,2,0)</f>
        <v>Налоги</v>
      </c>
      <c r="F114" t="s">
        <v>25</v>
      </c>
      <c r="G114" s="30" t="s">
        <v>309</v>
      </c>
    </row>
    <row r="115" spans="1:16" x14ac:dyDescent="0.45">
      <c r="A115" s="6" t="str">
        <f t="shared" si="5"/>
        <v>76-05</v>
      </c>
      <c r="B115" s="8" t="s">
        <v>287</v>
      </c>
      <c r="C115" s="9" t="str">
        <f>VLOOKUP(B115,ГПок!$B:$E,2,0)</f>
        <v>Налоги</v>
      </c>
      <c r="F115" t="s">
        <v>26</v>
      </c>
      <c r="G115" s="30" t="s">
        <v>310</v>
      </c>
    </row>
    <row r="116" spans="1:16" x14ac:dyDescent="0.45">
      <c r="A116" s="6" t="str">
        <f t="shared" si="5"/>
        <v>76-06</v>
      </c>
      <c r="B116" s="8" t="s">
        <v>287</v>
      </c>
      <c r="C116" s="9" t="str">
        <f>VLOOKUP(B116,ГПок!$B:$E,2,0)</f>
        <v>Налоги</v>
      </c>
      <c r="F116" t="s">
        <v>35</v>
      </c>
      <c r="G116" s="30" t="s">
        <v>311</v>
      </c>
    </row>
    <row r="117" spans="1:16" ht="14.25" customHeight="1" x14ac:dyDescent="0.45">
      <c r="A117" s="6" t="str">
        <f t="shared" si="5"/>
        <v>76-07</v>
      </c>
      <c r="B117" s="8" t="s">
        <v>287</v>
      </c>
      <c r="C117" s="9" t="str">
        <f>VLOOKUP(B117,ГПок!$B:$E,2,0)</f>
        <v>Налоги</v>
      </c>
      <c r="F117" t="s">
        <v>37</v>
      </c>
      <c r="G117" s="30" t="s">
        <v>312</v>
      </c>
    </row>
    <row r="118" spans="1:16" ht="14.25" customHeight="1" x14ac:dyDescent="0.45">
      <c r="A118" s="6" t="str">
        <f t="shared" si="5"/>
        <v>76-08</v>
      </c>
      <c r="B118" s="8" t="s">
        <v>287</v>
      </c>
      <c r="C118" s="9" t="str">
        <f>VLOOKUP(B118,ГПок!$B:$E,2,0)</f>
        <v>Налоги</v>
      </c>
      <c r="F118" t="s">
        <v>48</v>
      </c>
      <c r="G118" s="30" t="s">
        <v>313</v>
      </c>
    </row>
    <row r="119" spans="1:16" ht="14.25" customHeight="1" x14ac:dyDescent="0.45">
      <c r="A119" s="6" t="str">
        <f t="shared" si="5"/>
        <v>77-01</v>
      </c>
      <c r="B119" s="8" t="s">
        <v>288</v>
      </c>
      <c r="C119" s="9" t="str">
        <f>VLOOKUP(B119,ГПок!$B:$E,2,0)</f>
        <v>Ковенанты</v>
      </c>
      <c r="F119" s="193" t="s">
        <v>19</v>
      </c>
      <c r="G119" t="s">
        <v>631</v>
      </c>
      <c r="J119" t="s">
        <v>615</v>
      </c>
      <c r="L119" s="181" t="s">
        <v>853</v>
      </c>
      <c r="N119" s="62" t="s">
        <v>273</v>
      </c>
      <c r="O119" s="116" t="s">
        <v>273</v>
      </c>
    </row>
    <row r="120" spans="1:16" ht="14.25" customHeight="1" x14ac:dyDescent="0.45">
      <c r="A120" s="6" t="str">
        <f t="shared" si="5"/>
        <v>77-02</v>
      </c>
      <c r="B120" s="8" t="s">
        <v>288</v>
      </c>
      <c r="C120" s="9" t="str">
        <f>VLOOKUP(B120,ГПок!$B:$E,2,0)</f>
        <v>Ковенанты</v>
      </c>
      <c r="F120" s="193" t="s">
        <v>20</v>
      </c>
      <c r="G120" t="s">
        <v>632</v>
      </c>
      <c r="J120" t="s">
        <v>615</v>
      </c>
      <c r="L120" s="181" t="s">
        <v>853</v>
      </c>
      <c r="N120" s="62" t="s">
        <v>273</v>
      </c>
      <c r="O120" s="116" t="s">
        <v>273</v>
      </c>
    </row>
    <row r="121" spans="1:16" ht="14.25" customHeight="1" x14ac:dyDescent="0.45">
      <c r="A121" s="6" t="str">
        <f t="shared" si="5"/>
        <v>77-03</v>
      </c>
      <c r="B121" s="8" t="s">
        <v>288</v>
      </c>
      <c r="C121" s="9" t="str">
        <f>VLOOKUP(B121,ГПок!$B:$E,2,0)</f>
        <v>Ковенанты</v>
      </c>
      <c r="F121" s="181" t="s">
        <v>24</v>
      </c>
      <c r="G121" t="s">
        <v>870</v>
      </c>
      <c r="J121" t="s">
        <v>40</v>
      </c>
      <c r="L121" s="181" t="s">
        <v>853</v>
      </c>
      <c r="N121" s="62" t="s">
        <v>273</v>
      </c>
      <c r="O121" s="116" t="s">
        <v>273</v>
      </c>
    </row>
    <row r="122" spans="1:16" ht="14.25" customHeight="1" x14ac:dyDescent="0.45">
      <c r="A122" s="6" t="str">
        <f t="shared" si="5"/>
        <v>77-04</v>
      </c>
      <c r="B122" s="8" t="s">
        <v>288</v>
      </c>
      <c r="C122" s="9" t="str">
        <f>VLOOKUP(B122,ГПок!$B:$E,2,0)</f>
        <v>Ковенанты</v>
      </c>
      <c r="F122" s="181" t="s">
        <v>25</v>
      </c>
      <c r="G122" t="s">
        <v>880</v>
      </c>
      <c r="J122" t="s">
        <v>41</v>
      </c>
      <c r="L122" s="181" t="s">
        <v>883</v>
      </c>
      <c r="N122" s="62" t="s">
        <v>273</v>
      </c>
      <c r="O122" s="116" t="s">
        <v>273</v>
      </c>
    </row>
    <row r="123" spans="1:16" ht="14.25" customHeight="1" x14ac:dyDescent="0.45">
      <c r="A123" s="6" t="str">
        <f t="shared" si="5"/>
        <v>80-00</v>
      </c>
      <c r="B123" s="1" t="s">
        <v>894</v>
      </c>
      <c r="C123" s="9" t="str">
        <f>VLOOKUP(B123,ГПок!$B:$E,2,0)</f>
        <v>Драйверы</v>
      </c>
      <c r="F123" s="193" t="s">
        <v>1</v>
      </c>
      <c r="G123" s="90" t="s">
        <v>673</v>
      </c>
      <c r="J123" s="90" t="s">
        <v>42</v>
      </c>
      <c r="L123" s="90" t="s">
        <v>674</v>
      </c>
      <c r="N123" s="62" t="s">
        <v>273</v>
      </c>
      <c r="O123" s="116" t="s">
        <v>273</v>
      </c>
      <c r="P123" t="s">
        <v>273</v>
      </c>
    </row>
    <row r="124" spans="1:16" ht="14.25" customHeight="1" x14ac:dyDescent="0.45">
      <c r="A124" s="6" t="str">
        <f t="shared" ref="A124:A125" si="6">B124&amp;"-"&amp;F124</f>
        <v>80-01</v>
      </c>
      <c r="B124" s="1" t="s">
        <v>894</v>
      </c>
      <c r="C124" s="9" t="str">
        <f>VLOOKUP(B124,ГПок!$B:$E,2,0)</f>
        <v>Драйверы</v>
      </c>
      <c r="F124" s="193" t="s">
        <v>19</v>
      </c>
      <c r="G124" s="90" t="s">
        <v>542</v>
      </c>
      <c r="J124" s="90" t="s">
        <v>41</v>
      </c>
      <c r="L124" s="90" t="s">
        <v>539</v>
      </c>
    </row>
    <row r="125" spans="1:16" ht="14.25" customHeight="1" x14ac:dyDescent="0.45">
      <c r="A125" s="6" t="str">
        <f t="shared" si="6"/>
        <v>80-02</v>
      </c>
      <c r="B125" s="1" t="s">
        <v>894</v>
      </c>
      <c r="C125" s="9" t="str">
        <f>VLOOKUP(B125,ГПок!$B:$E,2,0)</f>
        <v>Драйверы</v>
      </c>
      <c r="F125" s="193" t="s">
        <v>20</v>
      </c>
      <c r="G125" s="90" t="s">
        <v>547</v>
      </c>
      <c r="J125" s="90" t="s">
        <v>41</v>
      </c>
      <c r="L125" s="90" t="s">
        <v>675</v>
      </c>
    </row>
    <row r="126" spans="1:16" ht="14.25" customHeight="1" x14ac:dyDescent="0.45">
      <c r="A126" s="6" t="str">
        <f t="shared" ref="A126:A129" si="7">B126&amp;"-"&amp;F126</f>
        <v>80-03</v>
      </c>
      <c r="B126" s="1" t="s">
        <v>894</v>
      </c>
      <c r="C126" s="9" t="str">
        <f>VLOOKUP(B126,ГПок!$B:$E,2,0)</f>
        <v>Драйверы</v>
      </c>
      <c r="F126" s="193" t="s">
        <v>24</v>
      </c>
      <c r="G126" s="90" t="s">
        <v>729</v>
      </c>
      <c r="J126" s="90" t="s">
        <v>40</v>
      </c>
      <c r="L126" s="90" t="s">
        <v>730</v>
      </c>
    </row>
    <row r="127" spans="1:16" ht="14.25" customHeight="1" x14ac:dyDescent="0.45">
      <c r="A127" s="6" t="str">
        <f t="shared" si="7"/>
        <v>80-04</v>
      </c>
      <c r="B127" s="1" t="s">
        <v>894</v>
      </c>
      <c r="C127" s="9" t="str">
        <f>VLOOKUP(B127,ГПок!$B:$E,2,0)</f>
        <v>Драйверы</v>
      </c>
      <c r="F127" s="193" t="s">
        <v>25</v>
      </c>
      <c r="G127" s="90" t="s">
        <v>731</v>
      </c>
      <c r="J127" s="90" t="s">
        <v>40</v>
      </c>
      <c r="L127" s="90" t="s">
        <v>728</v>
      </c>
    </row>
    <row r="128" spans="1:16" x14ac:dyDescent="0.45">
      <c r="A128" s="6" t="str">
        <f t="shared" si="7"/>
        <v>80-05</v>
      </c>
      <c r="B128" s="1" t="s">
        <v>894</v>
      </c>
      <c r="C128" s="9" t="str">
        <f>VLOOKUP(B128,ГПок!$B:$E,2,0)</f>
        <v>Драйверы</v>
      </c>
      <c r="F128" s="8" t="s">
        <v>26</v>
      </c>
      <c r="G128" s="90" t="s">
        <v>650</v>
      </c>
      <c r="J128" s="90" t="s">
        <v>40</v>
      </c>
      <c r="L128" s="307" t="s">
        <v>885</v>
      </c>
      <c r="N128" s="62" t="s">
        <v>273</v>
      </c>
      <c r="O128" s="116" t="s">
        <v>273</v>
      </c>
    </row>
    <row r="129" spans="1:12" x14ac:dyDescent="0.45">
      <c r="A129" s="6" t="str">
        <f t="shared" si="7"/>
        <v>80-06</v>
      </c>
      <c r="B129" s="1" t="s">
        <v>894</v>
      </c>
      <c r="C129" s="9" t="str">
        <f>VLOOKUP(B129,ГПок!$B:$E,2,0)</f>
        <v>Драйверы</v>
      </c>
      <c r="F129" s="181" t="s">
        <v>35</v>
      </c>
      <c r="G129" s="90"/>
      <c r="J129" s="90"/>
      <c r="L129" s="181"/>
    </row>
  </sheetData>
  <mergeCells count="2">
    <mergeCell ref="W7:W31"/>
    <mergeCell ref="N1:P1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84113-8A43-44A5-8F1D-F70FD2EB70E8}">
  <sheetPr>
    <tabColor rgb="FF92D050"/>
  </sheetPr>
  <dimension ref="B3:H12"/>
  <sheetViews>
    <sheetView workbookViewId="0">
      <selection activeCell="B3" sqref="B3:H3"/>
    </sheetView>
  </sheetViews>
  <sheetFormatPr defaultColWidth="8.796875" defaultRowHeight="14.25" x14ac:dyDescent="0.45"/>
  <cols>
    <col min="2" max="2" width="17.6640625" customWidth="1"/>
    <col min="3" max="3" width="37.33203125" customWidth="1"/>
    <col min="6" max="6" width="22.6640625" customWidth="1"/>
  </cols>
  <sheetData>
    <row r="3" spans="2:8" x14ac:dyDescent="0.45">
      <c r="B3" s="336" t="s">
        <v>43</v>
      </c>
      <c r="C3" s="336" t="s">
        <v>132</v>
      </c>
      <c r="D3" s="336" t="s">
        <v>134</v>
      </c>
      <c r="E3" s="336" t="s">
        <v>135</v>
      </c>
      <c r="F3" s="336" t="s">
        <v>142</v>
      </c>
      <c r="G3" s="339" t="s">
        <v>149</v>
      </c>
      <c r="H3" s="339" t="s">
        <v>151</v>
      </c>
    </row>
    <row r="4" spans="2:8" x14ac:dyDescent="0.45">
      <c r="B4" s="13" t="s">
        <v>127</v>
      </c>
      <c r="C4" t="s">
        <v>136</v>
      </c>
      <c r="D4" t="s">
        <v>137</v>
      </c>
      <c r="E4" t="s">
        <v>138</v>
      </c>
      <c r="F4" t="s">
        <v>143</v>
      </c>
      <c r="H4" t="s">
        <v>152</v>
      </c>
    </row>
    <row r="5" spans="2:8" x14ac:dyDescent="0.45">
      <c r="B5" s="13" t="s">
        <v>431</v>
      </c>
      <c r="C5" t="s">
        <v>140</v>
      </c>
      <c r="D5" t="s">
        <v>147</v>
      </c>
      <c r="E5" t="s">
        <v>138</v>
      </c>
      <c r="F5" t="s">
        <v>144</v>
      </c>
      <c r="H5" t="s">
        <v>152</v>
      </c>
    </row>
    <row r="6" spans="2:8" x14ac:dyDescent="0.45">
      <c r="B6" s="13" t="s">
        <v>126</v>
      </c>
      <c r="C6" t="s">
        <v>141</v>
      </c>
      <c r="D6" t="s">
        <v>147</v>
      </c>
      <c r="E6" t="s">
        <v>139</v>
      </c>
      <c r="F6" t="s">
        <v>145</v>
      </c>
    </row>
    <row r="7" spans="2:8" x14ac:dyDescent="0.45">
      <c r="B7" s="17" t="s">
        <v>156</v>
      </c>
      <c r="C7" t="s">
        <v>128</v>
      </c>
      <c r="D7" t="s">
        <v>147</v>
      </c>
      <c r="E7" t="s">
        <v>139</v>
      </c>
      <c r="F7" t="s">
        <v>146</v>
      </c>
      <c r="H7" t="s">
        <v>154</v>
      </c>
    </row>
    <row r="8" spans="2:8" x14ac:dyDescent="0.45">
      <c r="B8" s="17" t="s">
        <v>129</v>
      </c>
      <c r="D8" t="s">
        <v>147</v>
      </c>
      <c r="E8" t="s">
        <v>138</v>
      </c>
      <c r="F8" t="s">
        <v>148</v>
      </c>
      <c r="G8" t="s">
        <v>150</v>
      </c>
      <c r="H8" t="s">
        <v>154</v>
      </c>
    </row>
    <row r="9" spans="2:8" x14ac:dyDescent="0.45">
      <c r="B9" s="2" t="s">
        <v>130</v>
      </c>
      <c r="D9" t="s">
        <v>147</v>
      </c>
      <c r="E9" t="s">
        <v>138</v>
      </c>
    </row>
    <row r="10" spans="2:8" x14ac:dyDescent="0.45">
      <c r="B10" s="89" t="s">
        <v>131</v>
      </c>
      <c r="D10" t="s">
        <v>147</v>
      </c>
      <c r="E10" t="s">
        <v>139</v>
      </c>
    </row>
    <row r="11" spans="2:8" x14ac:dyDescent="0.45">
      <c r="B11" s="89" t="s">
        <v>133</v>
      </c>
      <c r="D11" t="s">
        <v>147</v>
      </c>
      <c r="E11" t="s">
        <v>139</v>
      </c>
    </row>
    <row r="12" spans="2:8" x14ac:dyDescent="0.45">
      <c r="B12" s="2" t="s">
        <v>153</v>
      </c>
      <c r="F12" t="s">
        <v>148</v>
      </c>
      <c r="G12" t="s">
        <v>155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B333E-7187-4780-A101-1EE716EBAD6D}">
  <sheetPr>
    <tabColor rgb="FF92D050"/>
  </sheetPr>
  <dimension ref="B3:C15"/>
  <sheetViews>
    <sheetView workbookViewId="0">
      <selection activeCell="B3" sqref="B3:C3"/>
    </sheetView>
  </sheetViews>
  <sheetFormatPr defaultColWidth="8.796875" defaultRowHeight="14.25" x14ac:dyDescent="0.45"/>
  <cols>
    <col min="3" max="3" width="16.6640625" customWidth="1"/>
  </cols>
  <sheetData>
    <row r="3" spans="2:3" x14ac:dyDescent="0.45">
      <c r="B3" s="340"/>
      <c r="C3" s="341" t="s">
        <v>295</v>
      </c>
    </row>
    <row r="4" spans="2:3" x14ac:dyDescent="0.45">
      <c r="B4" s="8" t="s">
        <v>171</v>
      </c>
      <c r="C4" s="6" t="s">
        <v>152</v>
      </c>
    </row>
    <row r="5" spans="2:3" x14ac:dyDescent="0.45">
      <c r="B5" s="8" t="s">
        <v>172</v>
      </c>
      <c r="C5" s="6" t="s">
        <v>168</v>
      </c>
    </row>
    <row r="6" spans="2:3" x14ac:dyDescent="0.45">
      <c r="B6" s="8" t="s">
        <v>173</v>
      </c>
      <c r="C6" s="6" t="s">
        <v>169</v>
      </c>
    </row>
    <row r="7" spans="2:3" x14ac:dyDescent="0.45">
      <c r="B7" s="8" t="s">
        <v>174</v>
      </c>
      <c r="C7" s="6" t="s">
        <v>170</v>
      </c>
    </row>
    <row r="8" spans="2:3" x14ac:dyDescent="0.45">
      <c r="B8" s="8" t="s">
        <v>175</v>
      </c>
      <c r="C8" s="6" t="s">
        <v>176</v>
      </c>
    </row>
    <row r="9" spans="2:3" x14ac:dyDescent="0.45">
      <c r="B9" s="8"/>
      <c r="C9" s="6"/>
    </row>
    <row r="10" spans="2:3" x14ac:dyDescent="0.45">
      <c r="B10" s="8"/>
    </row>
    <row r="11" spans="2:3" x14ac:dyDescent="0.45">
      <c r="B11" s="8"/>
    </row>
    <row r="12" spans="2:3" x14ac:dyDescent="0.45">
      <c r="B12" s="8"/>
    </row>
    <row r="13" spans="2:3" x14ac:dyDescent="0.45">
      <c r="B13" s="8"/>
      <c r="C13" s="10"/>
    </row>
    <row r="14" spans="2:3" x14ac:dyDescent="0.45">
      <c r="B14" s="8"/>
      <c r="C14" s="10"/>
    </row>
    <row r="15" spans="2:3" x14ac:dyDescent="0.45">
      <c r="B15" s="8"/>
      <c r="C15" s="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E0369-8099-47EB-8E9D-98D23E4D936F}">
  <sheetPr>
    <tabColor rgb="FF92D050"/>
  </sheetPr>
  <dimension ref="B3:D18"/>
  <sheetViews>
    <sheetView workbookViewId="0">
      <selection activeCell="C3" sqref="B3:C3"/>
    </sheetView>
  </sheetViews>
  <sheetFormatPr defaultColWidth="8.796875" defaultRowHeight="14.25" x14ac:dyDescent="0.45"/>
  <cols>
    <col min="3" max="3" width="24.796875" customWidth="1"/>
    <col min="4" max="4" width="29.33203125" customWidth="1"/>
  </cols>
  <sheetData>
    <row r="3" spans="2:4" x14ac:dyDescent="0.45">
      <c r="B3" s="340"/>
      <c r="C3" s="341" t="s">
        <v>156</v>
      </c>
      <c r="D3" s="24" t="s">
        <v>293</v>
      </c>
    </row>
    <row r="4" spans="2:4" x14ac:dyDescent="0.45">
      <c r="B4" s="8" t="s">
        <v>19</v>
      </c>
      <c r="C4" s="6" t="s">
        <v>51</v>
      </c>
    </row>
    <row r="5" spans="2:4" x14ac:dyDescent="0.45">
      <c r="B5" s="8" t="s">
        <v>158</v>
      </c>
      <c r="C5" s="10" t="s">
        <v>11</v>
      </c>
    </row>
    <row r="6" spans="2:4" x14ac:dyDescent="0.45">
      <c r="B6" s="8" t="s">
        <v>159</v>
      </c>
      <c r="C6" s="10" t="s">
        <v>12</v>
      </c>
    </row>
    <row r="7" spans="2:4" x14ac:dyDescent="0.45">
      <c r="B7" s="8" t="s">
        <v>160</v>
      </c>
      <c r="C7" s="10" t="s">
        <v>13</v>
      </c>
    </row>
    <row r="8" spans="2:4" x14ac:dyDescent="0.45">
      <c r="B8" s="8" t="s">
        <v>936</v>
      </c>
      <c r="C8" s="10" t="s">
        <v>367</v>
      </c>
    </row>
    <row r="9" spans="2:4" x14ac:dyDescent="0.45">
      <c r="B9" s="8" t="s">
        <v>24</v>
      </c>
      <c r="C9" s="6" t="s">
        <v>14</v>
      </c>
    </row>
    <row r="10" spans="2:4" x14ac:dyDescent="0.45">
      <c r="B10" s="8" t="s">
        <v>25</v>
      </c>
      <c r="C10" s="6" t="s">
        <v>52</v>
      </c>
    </row>
    <row r="11" spans="2:4" x14ac:dyDescent="0.45">
      <c r="B11" s="8" t="s">
        <v>26</v>
      </c>
      <c r="C11" s="6" t="s">
        <v>53</v>
      </c>
    </row>
    <row r="12" spans="2:4" x14ac:dyDescent="0.45">
      <c r="B12" s="8" t="s">
        <v>937</v>
      </c>
      <c r="C12" s="10" t="s">
        <v>371</v>
      </c>
    </row>
    <row r="13" spans="2:4" x14ac:dyDescent="0.45">
      <c r="B13" s="8" t="s">
        <v>938</v>
      </c>
      <c r="C13" s="10" t="s">
        <v>368</v>
      </c>
    </row>
    <row r="14" spans="2:4" x14ac:dyDescent="0.45">
      <c r="B14" s="8" t="s">
        <v>939</v>
      </c>
      <c r="C14" s="10" t="s">
        <v>369</v>
      </c>
    </row>
    <row r="15" spans="2:4" x14ac:dyDescent="0.45">
      <c r="B15" s="8" t="s">
        <v>476</v>
      </c>
      <c r="C15" s="10" t="s">
        <v>370</v>
      </c>
    </row>
    <row r="16" spans="2:4" x14ac:dyDescent="0.45">
      <c r="B16" s="8" t="s">
        <v>477</v>
      </c>
      <c r="C16" s="10" t="s">
        <v>940</v>
      </c>
    </row>
    <row r="17" spans="2:4" x14ac:dyDescent="0.45">
      <c r="B17" s="8" t="s">
        <v>35</v>
      </c>
      <c r="C17" s="6" t="s">
        <v>15</v>
      </c>
      <c r="D17" s="19" t="s">
        <v>177</v>
      </c>
    </row>
    <row r="18" spans="2:4" x14ac:dyDescent="0.45">
      <c r="B18" s="8" t="s">
        <v>37</v>
      </c>
      <c r="C18" s="6" t="s">
        <v>16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6ECF8-9B03-4A84-B96B-2AFB184B16AC}">
  <sheetPr>
    <tabColor rgb="FF92D050"/>
  </sheetPr>
  <dimension ref="B3:G15"/>
  <sheetViews>
    <sheetView zoomScale="145" zoomScaleNormal="145" workbookViewId="0">
      <selection activeCell="B3" sqref="B3:C3"/>
    </sheetView>
  </sheetViews>
  <sheetFormatPr defaultColWidth="8.796875" defaultRowHeight="14.25" x14ac:dyDescent="0.45"/>
  <cols>
    <col min="3" max="3" width="17.33203125" customWidth="1"/>
    <col min="4" max="4" width="35.6640625" customWidth="1"/>
    <col min="5" max="5" width="39.33203125" customWidth="1"/>
  </cols>
  <sheetData>
    <row r="3" spans="2:7" ht="14.25" customHeight="1" x14ac:dyDescent="0.45">
      <c r="B3" s="340" t="s">
        <v>457</v>
      </c>
      <c r="C3" s="341" t="s">
        <v>129</v>
      </c>
      <c r="D3" s="34" t="s">
        <v>294</v>
      </c>
      <c r="E3" s="12"/>
      <c r="F3" s="12"/>
      <c r="G3" s="12"/>
    </row>
    <row r="4" spans="2:7" x14ac:dyDescent="0.45">
      <c r="B4" s="8" t="s">
        <v>19</v>
      </c>
      <c r="C4" s="6" t="s">
        <v>51</v>
      </c>
      <c r="E4" s="313" t="s">
        <v>292</v>
      </c>
    </row>
    <row r="5" spans="2:7" x14ac:dyDescent="0.45">
      <c r="B5" s="8" t="s">
        <v>20</v>
      </c>
      <c r="C5" s="6" t="s">
        <v>52</v>
      </c>
      <c r="E5" s="313"/>
    </row>
    <row r="6" spans="2:7" x14ac:dyDescent="0.45">
      <c r="B6" s="8" t="s">
        <v>24</v>
      </c>
      <c r="C6" s="6" t="s">
        <v>259</v>
      </c>
      <c r="E6" s="313"/>
    </row>
    <row r="7" spans="2:7" x14ac:dyDescent="0.45">
      <c r="B7" s="8" t="s">
        <v>25</v>
      </c>
      <c r="C7" s="6" t="s">
        <v>14</v>
      </c>
      <c r="E7" s="313"/>
    </row>
    <row r="8" spans="2:7" x14ac:dyDescent="0.45">
      <c r="B8" s="8" t="s">
        <v>26</v>
      </c>
      <c r="C8" s="6" t="s">
        <v>165</v>
      </c>
      <c r="E8" s="313"/>
    </row>
    <row r="9" spans="2:7" x14ac:dyDescent="0.45">
      <c r="B9" s="8" t="s">
        <v>35</v>
      </c>
      <c r="C9" s="6" t="s">
        <v>164</v>
      </c>
      <c r="E9" s="313"/>
    </row>
    <row r="10" spans="2:7" x14ac:dyDescent="0.45">
      <c r="B10" s="8"/>
      <c r="E10" s="313"/>
    </row>
    <row r="11" spans="2:7" x14ac:dyDescent="0.45">
      <c r="B11" s="8"/>
    </row>
    <row r="12" spans="2:7" x14ac:dyDescent="0.45">
      <c r="B12" s="8"/>
    </row>
    <row r="13" spans="2:7" x14ac:dyDescent="0.45">
      <c r="B13" s="8"/>
      <c r="C13" s="10"/>
    </row>
    <row r="14" spans="2:7" x14ac:dyDescent="0.45">
      <c r="B14" s="8"/>
      <c r="C14" s="10"/>
    </row>
    <row r="15" spans="2:7" x14ac:dyDescent="0.45">
      <c r="B15" s="8"/>
      <c r="C15" s="6"/>
    </row>
  </sheetData>
  <mergeCells count="1">
    <mergeCell ref="E4:E10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6733E-4994-468B-87AC-4F99DFE91CDF}">
  <sheetPr>
    <tabColor rgb="FF92D050"/>
  </sheetPr>
  <dimension ref="B4:F12"/>
  <sheetViews>
    <sheetView workbookViewId="0">
      <selection activeCell="B4" sqref="B4:F4"/>
    </sheetView>
  </sheetViews>
  <sheetFormatPr defaultColWidth="8.796875" defaultRowHeight="14.25" x14ac:dyDescent="0.45"/>
  <cols>
    <col min="2" max="2" width="5.1328125" customWidth="1"/>
    <col min="3" max="3" width="20.6640625" customWidth="1"/>
    <col min="4" max="4" width="22.6640625" customWidth="1"/>
    <col min="5" max="5" width="14.46484375" customWidth="1"/>
  </cols>
  <sheetData>
    <row r="4" spans="2:6" x14ac:dyDescent="0.45">
      <c r="B4" s="339" t="s">
        <v>438</v>
      </c>
      <c r="C4" s="339" t="s">
        <v>439</v>
      </c>
      <c r="D4" s="339" t="s">
        <v>744</v>
      </c>
      <c r="E4" s="339" t="s">
        <v>745</v>
      </c>
      <c r="F4" s="339" t="s">
        <v>750</v>
      </c>
    </row>
    <row r="5" spans="2:6" x14ac:dyDescent="0.45">
      <c r="B5" s="39"/>
      <c r="C5" s="39"/>
      <c r="D5" s="39"/>
      <c r="E5" s="39"/>
    </row>
    <row r="6" spans="2:6" x14ac:dyDescent="0.45">
      <c r="B6" s="39"/>
      <c r="C6" s="39"/>
      <c r="D6" s="39"/>
      <c r="E6" s="39"/>
    </row>
    <row r="7" spans="2:6" x14ac:dyDescent="0.45">
      <c r="B7" s="39"/>
      <c r="C7" s="39"/>
      <c r="D7" s="39"/>
      <c r="E7" s="39"/>
    </row>
    <row r="8" spans="2:6" x14ac:dyDescent="0.45">
      <c r="B8" s="39"/>
      <c r="C8" s="39"/>
      <c r="D8" s="39"/>
      <c r="E8" s="39"/>
    </row>
    <row r="9" spans="2:6" x14ac:dyDescent="0.45">
      <c r="B9" s="39"/>
      <c r="C9" s="39"/>
      <c r="D9" s="39"/>
      <c r="E9" s="39"/>
    </row>
    <row r="10" spans="2:6" x14ac:dyDescent="0.45">
      <c r="B10" s="39"/>
      <c r="C10" s="39"/>
      <c r="D10" s="39"/>
      <c r="E10" s="39"/>
    </row>
    <row r="11" spans="2:6" x14ac:dyDescent="0.45">
      <c r="B11" s="39"/>
      <c r="C11" s="39"/>
      <c r="D11" s="39"/>
      <c r="E11" s="39"/>
    </row>
    <row r="12" spans="2:6" x14ac:dyDescent="0.45">
      <c r="B12" s="39"/>
      <c r="C12" s="39"/>
      <c r="D12" s="39"/>
      <c r="E12" s="39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60551-5EF3-4C80-98F5-09EE14A265F0}">
  <sheetPr>
    <tabColor rgb="FF92D050"/>
  </sheetPr>
  <dimension ref="B3:H14"/>
  <sheetViews>
    <sheetView workbookViewId="0">
      <selection activeCell="B3" sqref="B3:H3"/>
    </sheetView>
  </sheetViews>
  <sheetFormatPr defaultColWidth="8.796875" defaultRowHeight="14.25" x14ac:dyDescent="0.45"/>
  <cols>
    <col min="2" max="5" width="9"/>
    <col min="6" max="6" width="25.33203125" customWidth="1"/>
    <col min="7" max="7" width="9"/>
    <col min="8" max="8" width="13" customWidth="1"/>
  </cols>
  <sheetData>
    <row r="3" spans="2:8" x14ac:dyDescent="0.45">
      <c r="B3" s="339" t="s">
        <v>751</v>
      </c>
      <c r="C3" s="339" t="s">
        <v>537</v>
      </c>
      <c r="D3" s="339" t="s">
        <v>753</v>
      </c>
      <c r="E3" s="339" t="s">
        <v>537</v>
      </c>
      <c r="F3" s="339" t="s">
        <v>746</v>
      </c>
      <c r="G3" s="339" t="s">
        <v>537</v>
      </c>
      <c r="H3" s="339" t="s">
        <v>750</v>
      </c>
    </row>
    <row r="4" spans="2:8" x14ac:dyDescent="0.45">
      <c r="B4" t="s">
        <v>816</v>
      </c>
      <c r="C4" s="93" t="s">
        <v>1</v>
      </c>
      <c r="D4" s="1" t="s">
        <v>152</v>
      </c>
      <c r="E4" s="93" t="s">
        <v>1</v>
      </c>
      <c r="F4" s="1" t="s">
        <v>152</v>
      </c>
      <c r="G4" s="93" t="s">
        <v>1</v>
      </c>
      <c r="H4" s="1" t="s">
        <v>152</v>
      </c>
    </row>
    <row r="5" spans="2:8" x14ac:dyDescent="0.45">
      <c r="B5" t="s">
        <v>817</v>
      </c>
      <c r="C5" s="93" t="s">
        <v>19</v>
      </c>
      <c r="D5" s="1" t="s">
        <v>754</v>
      </c>
      <c r="E5" s="93" t="s">
        <v>19</v>
      </c>
      <c r="F5" t="s">
        <v>747</v>
      </c>
      <c r="G5" s="93" t="s">
        <v>19</v>
      </c>
      <c r="H5" t="s">
        <v>747</v>
      </c>
    </row>
    <row r="6" spans="2:8" x14ac:dyDescent="0.45">
      <c r="B6" t="s">
        <v>818</v>
      </c>
      <c r="C6" s="93" t="s">
        <v>19</v>
      </c>
      <c r="D6" s="1" t="s">
        <v>754</v>
      </c>
      <c r="E6" s="93" t="s">
        <v>20</v>
      </c>
      <c r="F6" t="s">
        <v>748</v>
      </c>
      <c r="G6" s="93" t="s">
        <v>20</v>
      </c>
      <c r="H6" t="s">
        <v>755</v>
      </c>
    </row>
    <row r="7" spans="2:8" x14ac:dyDescent="0.45">
      <c r="B7" t="s">
        <v>819</v>
      </c>
      <c r="C7" s="93" t="s">
        <v>19</v>
      </c>
      <c r="D7" s="1" t="s">
        <v>754</v>
      </c>
      <c r="E7" s="93" t="s">
        <v>20</v>
      </c>
      <c r="F7" t="s">
        <v>748</v>
      </c>
      <c r="G7" s="93" t="s">
        <v>24</v>
      </c>
      <c r="H7" t="s">
        <v>756</v>
      </c>
    </row>
    <row r="8" spans="2:8" x14ac:dyDescent="0.45">
      <c r="B8" t="s">
        <v>820</v>
      </c>
      <c r="C8" s="93" t="s">
        <v>19</v>
      </c>
      <c r="D8" s="1" t="s">
        <v>754</v>
      </c>
      <c r="E8" s="93" t="s">
        <v>24</v>
      </c>
      <c r="F8" t="s">
        <v>752</v>
      </c>
      <c r="G8" s="93" t="s">
        <v>25</v>
      </c>
      <c r="H8" t="s">
        <v>749</v>
      </c>
    </row>
    <row r="9" spans="2:8" x14ac:dyDescent="0.45">
      <c r="B9" t="s">
        <v>821</v>
      </c>
      <c r="C9" s="93" t="s">
        <v>20</v>
      </c>
      <c r="D9" s="1" t="s">
        <v>757</v>
      </c>
      <c r="E9" s="93" t="s">
        <v>1</v>
      </c>
      <c r="F9" s="1" t="s">
        <v>152</v>
      </c>
      <c r="G9" s="93" t="s">
        <v>1</v>
      </c>
      <c r="H9" s="1" t="s">
        <v>152</v>
      </c>
    </row>
    <row r="10" spans="2:8" x14ac:dyDescent="0.45">
      <c r="B10" t="s">
        <v>822</v>
      </c>
      <c r="C10" s="93" t="s">
        <v>24</v>
      </c>
      <c r="D10" s="1" t="s">
        <v>758</v>
      </c>
      <c r="E10" s="93" t="s">
        <v>1</v>
      </c>
      <c r="F10" s="1" t="s">
        <v>152</v>
      </c>
      <c r="G10" s="93" t="s">
        <v>1</v>
      </c>
      <c r="H10" s="1" t="s">
        <v>152</v>
      </c>
    </row>
    <row r="11" spans="2:8" x14ac:dyDescent="0.45">
      <c r="B11" t="s">
        <v>823</v>
      </c>
      <c r="C11" s="93" t="s">
        <v>25</v>
      </c>
      <c r="D11" s="1" t="s">
        <v>759</v>
      </c>
      <c r="E11" s="93" t="s">
        <v>1</v>
      </c>
      <c r="F11" s="1" t="s">
        <v>152</v>
      </c>
      <c r="G11" s="93" t="s">
        <v>1</v>
      </c>
      <c r="H11" s="1" t="s">
        <v>152</v>
      </c>
    </row>
    <row r="12" spans="2:8" x14ac:dyDescent="0.45">
      <c r="B12" t="s">
        <v>824</v>
      </c>
    </row>
    <row r="13" spans="2:8" x14ac:dyDescent="0.45">
      <c r="B13" t="s">
        <v>824</v>
      </c>
    </row>
    <row r="14" spans="2:8" x14ac:dyDescent="0.45">
      <c r="B14" t="s">
        <v>824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D343-1293-4C34-8F73-7609028FF300}">
  <sheetPr>
    <tabColor rgb="FFFF0000"/>
  </sheetPr>
  <dimension ref="A2:C14"/>
  <sheetViews>
    <sheetView workbookViewId="0">
      <selection activeCell="A15" sqref="A15"/>
    </sheetView>
  </sheetViews>
  <sheetFormatPr defaultColWidth="8.796875" defaultRowHeight="14.25" x14ac:dyDescent="0.45"/>
  <cols>
    <col min="2" max="2" width="25" customWidth="1"/>
  </cols>
  <sheetData>
    <row r="2" spans="1:3" x14ac:dyDescent="0.45">
      <c r="B2" s="33" t="s">
        <v>274</v>
      </c>
    </row>
    <row r="3" spans="1:3" x14ac:dyDescent="0.45">
      <c r="B3" s="33" t="s">
        <v>260</v>
      </c>
    </row>
    <row r="7" spans="1:3" x14ac:dyDescent="0.45">
      <c r="B7" t="s">
        <v>497</v>
      </c>
    </row>
    <row r="10" spans="1:3" x14ac:dyDescent="0.45">
      <c r="B10" s="33" t="s">
        <v>692</v>
      </c>
      <c r="C10" t="s">
        <v>693</v>
      </c>
    </row>
    <row r="14" spans="1:3" x14ac:dyDescent="0.45">
      <c r="A14" t="s">
        <v>0</v>
      </c>
      <c r="B14" s="33" t="s">
        <v>379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55D89-7450-4B2F-8933-F67C12D15A58}">
  <sheetPr>
    <tabColor rgb="FFFFC000"/>
  </sheetPr>
  <dimension ref="A1:J35"/>
  <sheetViews>
    <sheetView topLeftCell="A4" zoomScale="85" zoomScaleNormal="85" workbookViewId="0">
      <selection activeCell="C11" sqref="C11"/>
    </sheetView>
  </sheetViews>
  <sheetFormatPr defaultColWidth="8.796875" defaultRowHeight="14.25" x14ac:dyDescent="0.45"/>
  <cols>
    <col min="1" max="1" width="18.1328125" bestFit="1" customWidth="1"/>
    <col min="3" max="3" width="28" customWidth="1"/>
    <col min="4" max="4" width="11.1328125" customWidth="1"/>
    <col min="5" max="5" width="12" bestFit="1" customWidth="1"/>
    <col min="6" max="6" width="45.46484375" customWidth="1"/>
    <col min="7" max="7" width="13" bestFit="1" customWidth="1"/>
    <col min="8" max="8" width="31.33203125" customWidth="1"/>
    <col min="9" max="9" width="16.46484375" customWidth="1"/>
  </cols>
  <sheetData>
    <row r="1" spans="1:10" x14ac:dyDescent="0.45">
      <c r="B1" s="2" t="s">
        <v>543</v>
      </c>
    </row>
    <row r="2" spans="1:10" s="198" customFormat="1" ht="14" customHeight="1" x14ac:dyDescent="0.45">
      <c r="B2" s="199" t="s">
        <v>677</v>
      </c>
    </row>
    <row r="5" spans="1:10" x14ac:dyDescent="0.45">
      <c r="I5" t="s">
        <v>676</v>
      </c>
    </row>
    <row r="6" spans="1:10" s="17" customFormat="1" x14ac:dyDescent="0.45">
      <c r="A6" s="338" t="s">
        <v>619</v>
      </c>
      <c r="B6" s="338" t="s">
        <v>537</v>
      </c>
      <c r="C6" s="337" t="s">
        <v>44</v>
      </c>
      <c r="D6" s="338"/>
      <c r="E6" s="338"/>
      <c r="F6" s="337" t="s">
        <v>538</v>
      </c>
      <c r="G6" s="337"/>
      <c r="H6" s="338" t="s">
        <v>540</v>
      </c>
      <c r="I6" s="338" t="s">
        <v>541</v>
      </c>
    </row>
    <row r="7" spans="1:10" ht="21.75" customHeight="1" x14ac:dyDescent="0.45">
      <c r="A7" t="str">
        <f>"p"&amp;B7&amp;"-"&amp;E7</f>
        <v>p05-04-05-04</v>
      </c>
      <c r="B7" s="119" t="s">
        <v>476</v>
      </c>
      <c r="C7" s="12" t="s">
        <v>263</v>
      </c>
      <c r="D7" s="12" t="s">
        <v>40</v>
      </c>
      <c r="E7" s="120" t="s">
        <v>476</v>
      </c>
      <c r="F7" s="12" t="s">
        <v>263</v>
      </c>
      <c r="G7" t="s">
        <v>40</v>
      </c>
      <c r="H7" t="s">
        <v>539</v>
      </c>
      <c r="I7" s="90"/>
    </row>
    <row r="8" spans="1:10" ht="21.75" customHeight="1" x14ac:dyDescent="0.45">
      <c r="A8" t="str">
        <f t="shared" ref="A8:A18" si="0">"p"&amp;B8&amp;"-"&amp;E8</f>
        <v>p05-04-05-04</v>
      </c>
      <c r="B8" s="119" t="s">
        <v>476</v>
      </c>
      <c r="C8" s="12" t="s">
        <v>263</v>
      </c>
      <c r="D8" s="12" t="s">
        <v>40</v>
      </c>
      <c r="E8" s="120" t="s">
        <v>476</v>
      </c>
      <c r="F8" s="12" t="s">
        <v>263</v>
      </c>
      <c r="G8" t="s">
        <v>40</v>
      </c>
      <c r="H8" t="s">
        <v>675</v>
      </c>
      <c r="I8" s="90"/>
      <c r="J8" t="s">
        <v>743</v>
      </c>
    </row>
    <row r="9" spans="1:10" x14ac:dyDescent="0.45">
      <c r="A9" t="str">
        <f t="shared" si="0"/>
        <v>p05-05-05-05</v>
      </c>
      <c r="B9" s="119" t="s">
        <v>477</v>
      </c>
      <c r="C9" s="12" t="s">
        <v>264</v>
      </c>
      <c r="D9" s="12" t="s">
        <v>40</v>
      </c>
      <c r="E9" s="120" t="s">
        <v>477</v>
      </c>
      <c r="F9" s="12" t="s">
        <v>264</v>
      </c>
      <c r="G9" t="s">
        <v>40</v>
      </c>
      <c r="H9" t="s">
        <v>539</v>
      </c>
    </row>
    <row r="10" spans="1:10" x14ac:dyDescent="0.45">
      <c r="A10" t="str">
        <f t="shared" si="0"/>
        <v>p05-06-05-06</v>
      </c>
      <c r="B10" s="119" t="s">
        <v>478</v>
      </c>
      <c r="C10" s="12" t="s">
        <v>265</v>
      </c>
      <c r="D10" s="12" t="s">
        <v>40</v>
      </c>
      <c r="E10" s="120" t="s">
        <v>478</v>
      </c>
      <c r="F10" s="12" t="s">
        <v>265</v>
      </c>
      <c r="G10" t="s">
        <v>40</v>
      </c>
      <c r="H10" t="s">
        <v>674</v>
      </c>
    </row>
    <row r="11" spans="1:10" x14ac:dyDescent="0.45">
      <c r="A11" t="str">
        <f t="shared" si="0"/>
        <v>p05-07-05-07</v>
      </c>
      <c r="B11" s="119" t="s">
        <v>479</v>
      </c>
      <c r="C11" s="12" t="s">
        <v>185</v>
      </c>
      <c r="D11" s="12" t="s">
        <v>40</v>
      </c>
      <c r="E11" s="120" t="s">
        <v>479</v>
      </c>
      <c r="F11" s="12" t="s">
        <v>185</v>
      </c>
      <c r="G11" t="s">
        <v>40</v>
      </c>
      <c r="H11" t="s">
        <v>539</v>
      </c>
      <c r="I11" s="90"/>
    </row>
    <row r="12" spans="1:10" x14ac:dyDescent="0.45">
      <c r="A12" t="str">
        <f t="shared" si="0"/>
        <v>p05-08-05-08</v>
      </c>
      <c r="B12" s="119" t="s">
        <v>480</v>
      </c>
      <c r="C12" s="12" t="s">
        <v>23</v>
      </c>
      <c r="D12" s="12" t="s">
        <v>40</v>
      </c>
      <c r="E12" s="120" t="s">
        <v>480</v>
      </c>
      <c r="F12" s="12" t="s">
        <v>23</v>
      </c>
      <c r="G12" t="s">
        <v>40</v>
      </c>
      <c r="H12" t="s">
        <v>539</v>
      </c>
      <c r="I12" s="90"/>
    </row>
    <row r="13" spans="1:10" x14ac:dyDescent="0.45">
      <c r="A13" t="str">
        <f t="shared" si="0"/>
        <v>p05-09-05-09</v>
      </c>
      <c r="B13" s="119" t="s">
        <v>482</v>
      </c>
      <c r="C13" s="12" t="s">
        <v>361</v>
      </c>
      <c r="D13" s="12" t="s">
        <v>40</v>
      </c>
      <c r="E13" s="120" t="s">
        <v>482</v>
      </c>
      <c r="F13" s="12" t="s">
        <v>361</v>
      </c>
      <c r="G13" t="s">
        <v>40</v>
      </c>
      <c r="H13" t="s">
        <v>539</v>
      </c>
      <c r="I13" s="90"/>
    </row>
    <row r="14" spans="1:10" x14ac:dyDescent="0.45">
      <c r="A14" t="str">
        <f t="shared" si="0"/>
        <v>p05-10-05-10</v>
      </c>
      <c r="B14" s="119" t="s">
        <v>483</v>
      </c>
      <c r="C14" s="12" t="s">
        <v>266</v>
      </c>
      <c r="D14" s="12" t="s">
        <v>40</v>
      </c>
      <c r="E14" s="120" t="s">
        <v>483</v>
      </c>
      <c r="F14" s="12" t="s">
        <v>266</v>
      </c>
      <c r="G14" t="s">
        <v>40</v>
      </c>
      <c r="H14" t="s">
        <v>539</v>
      </c>
      <c r="I14" s="90"/>
    </row>
    <row r="15" spans="1:10" x14ac:dyDescent="0.45">
      <c r="A15" t="str">
        <f t="shared" si="0"/>
        <v>p05-11-05-11</v>
      </c>
      <c r="B15" s="119" t="s">
        <v>484</v>
      </c>
      <c r="C15" s="12" t="s">
        <v>268</v>
      </c>
      <c r="D15" s="12" t="s">
        <v>40</v>
      </c>
      <c r="E15" s="120" t="s">
        <v>484</v>
      </c>
      <c r="F15" s="12" t="s">
        <v>268</v>
      </c>
      <c r="G15" t="s">
        <v>40</v>
      </c>
      <c r="H15" t="s">
        <v>539</v>
      </c>
      <c r="I15" s="90"/>
    </row>
    <row r="16" spans="1:10" x14ac:dyDescent="0.45">
      <c r="A16" t="str">
        <f t="shared" si="0"/>
        <v>p05-12-05-12</v>
      </c>
      <c r="B16" s="119" t="s">
        <v>485</v>
      </c>
      <c r="C16" s="12" t="s">
        <v>267</v>
      </c>
      <c r="D16" s="12" t="s">
        <v>40</v>
      </c>
      <c r="E16" s="12" t="s">
        <v>485</v>
      </c>
      <c r="F16" s="12" t="s">
        <v>267</v>
      </c>
      <c r="G16" t="s">
        <v>40</v>
      </c>
    </row>
    <row r="17" spans="1:10" x14ac:dyDescent="0.45">
      <c r="A17" t="str">
        <f t="shared" si="0"/>
        <v>p05-13-05-13</v>
      </c>
      <c r="B17" s="119" t="s">
        <v>486</v>
      </c>
      <c r="C17" s="12" t="s">
        <v>191</v>
      </c>
      <c r="D17" s="12" t="s">
        <v>40</v>
      </c>
      <c r="E17" s="120" t="s">
        <v>486</v>
      </c>
      <c r="F17" s="12" t="s">
        <v>191</v>
      </c>
      <c r="G17" t="s">
        <v>40</v>
      </c>
      <c r="H17" t="s">
        <v>539</v>
      </c>
      <c r="I17" s="90"/>
    </row>
    <row r="18" spans="1:10" x14ac:dyDescent="0.45">
      <c r="A18" t="str">
        <f t="shared" si="0"/>
        <v>p05-14-05-14</v>
      </c>
      <c r="B18" s="119" t="s">
        <v>487</v>
      </c>
      <c r="C18" s="12" t="s">
        <v>269</v>
      </c>
      <c r="D18" s="12" t="s">
        <v>40</v>
      </c>
      <c r="E18" s="120" t="s">
        <v>487</v>
      </c>
      <c r="F18" s="12" t="s">
        <v>269</v>
      </c>
      <c r="G18" t="s">
        <v>40</v>
      </c>
      <c r="H18" t="s">
        <v>539</v>
      </c>
      <c r="I18" s="90"/>
    </row>
    <row r="19" spans="1:10" x14ac:dyDescent="0.45">
      <c r="A19" t="str">
        <f t="shared" ref="A19:A21" si="1">"p"&amp;B19&amp;"-"&amp;E19</f>
        <v>p05-15-05-15</v>
      </c>
      <c r="B19" s="119" t="s">
        <v>488</v>
      </c>
      <c r="C19" s="12" t="s">
        <v>270</v>
      </c>
      <c r="D19" s="12" t="s">
        <v>40</v>
      </c>
      <c r="E19" s="120" t="s">
        <v>488</v>
      </c>
      <c r="F19" s="12" t="s">
        <v>270</v>
      </c>
      <c r="G19" t="s">
        <v>40</v>
      </c>
      <c r="H19" t="s">
        <v>539</v>
      </c>
      <c r="I19" s="90"/>
    </row>
    <row r="20" spans="1:10" x14ac:dyDescent="0.45">
      <c r="A20" t="str">
        <f t="shared" si="1"/>
        <v>p06-01-06-01</v>
      </c>
      <c r="B20" s="119" t="s">
        <v>489</v>
      </c>
      <c r="C20" s="12" t="s">
        <v>271</v>
      </c>
      <c r="D20" s="12" t="s">
        <v>40</v>
      </c>
      <c r="E20" s="120" t="s">
        <v>489</v>
      </c>
      <c r="F20" s="12" t="s">
        <v>271</v>
      </c>
      <c r="G20" t="s">
        <v>40</v>
      </c>
      <c r="H20" t="s">
        <v>730</v>
      </c>
      <c r="I20" s="197">
        <v>3.7499999999999999E-2</v>
      </c>
    </row>
    <row r="21" spans="1:10" x14ac:dyDescent="0.45">
      <c r="A21" t="str">
        <f t="shared" si="1"/>
        <v>p06-02-06-02</v>
      </c>
      <c r="B21" s="119" t="s">
        <v>490</v>
      </c>
      <c r="C21" s="12" t="s">
        <v>272</v>
      </c>
      <c r="D21" s="12" t="s">
        <v>40</v>
      </c>
      <c r="E21" s="120" t="s">
        <v>490</v>
      </c>
      <c r="F21" s="12" t="s">
        <v>272</v>
      </c>
      <c r="G21" t="s">
        <v>40</v>
      </c>
      <c r="H21" t="s">
        <v>728</v>
      </c>
      <c r="I21" s="247">
        <v>0.02</v>
      </c>
    </row>
    <row r="22" spans="1:10" x14ac:dyDescent="0.45">
      <c r="A22" t="str">
        <f t="shared" ref="A22" si="2">"p"&amp;B22&amp;"-"&amp;E22</f>
        <v>p06-03-06-03</v>
      </c>
      <c r="B22" s="119" t="s">
        <v>491</v>
      </c>
      <c r="C22" s="12" t="s">
        <v>492</v>
      </c>
      <c r="D22" s="12" t="s">
        <v>40</v>
      </c>
      <c r="E22" s="120" t="s">
        <v>491</v>
      </c>
      <c r="F22" s="12" t="s">
        <v>492</v>
      </c>
      <c r="G22" t="s">
        <v>40</v>
      </c>
      <c r="I22" s="90"/>
    </row>
    <row r="23" spans="1:10" x14ac:dyDescent="0.45">
      <c r="A23" t="str">
        <f t="shared" ref="A23:A25" si="3">"p"&amp;B23&amp;"-"&amp;E23</f>
        <v>p03-01-03-01</v>
      </c>
      <c r="B23" s="192" t="s">
        <v>469</v>
      </c>
      <c r="C23" s="12" t="s">
        <v>277</v>
      </c>
      <c r="D23" s="12" t="s">
        <v>40</v>
      </c>
      <c r="E23" s="196" t="s">
        <v>469</v>
      </c>
      <c r="F23" s="12" t="s">
        <v>277</v>
      </c>
      <c r="G23" t="s">
        <v>40</v>
      </c>
      <c r="H23" t="s">
        <v>56</v>
      </c>
      <c r="I23" s="197">
        <v>2.5000000000000001E-2</v>
      </c>
    </row>
    <row r="24" spans="1:10" x14ac:dyDescent="0.45">
      <c r="A24" t="str">
        <f t="shared" si="3"/>
        <v>p03-02-03-02</v>
      </c>
      <c r="B24" s="192" t="s">
        <v>470</v>
      </c>
      <c r="C24" s="12" t="s">
        <v>278</v>
      </c>
      <c r="D24" s="12" t="s">
        <v>40</v>
      </c>
      <c r="E24" s="196" t="s">
        <v>470</v>
      </c>
      <c r="F24" s="12" t="s">
        <v>278</v>
      </c>
      <c r="G24" t="s">
        <v>40</v>
      </c>
      <c r="H24" t="s">
        <v>56</v>
      </c>
      <c r="I24" s="197">
        <v>0.02</v>
      </c>
    </row>
    <row r="25" spans="1:10" x14ac:dyDescent="0.45">
      <c r="A25" t="str">
        <f t="shared" si="3"/>
        <v>p03-03-03-03</v>
      </c>
      <c r="B25" s="192" t="s">
        <v>471</v>
      </c>
      <c r="C25" s="12" t="s">
        <v>279</v>
      </c>
      <c r="D25" s="12" t="s">
        <v>40</v>
      </c>
      <c r="E25" s="196" t="s">
        <v>471</v>
      </c>
      <c r="F25" s="12" t="s">
        <v>279</v>
      </c>
      <c r="G25" t="s">
        <v>40</v>
      </c>
      <c r="H25" t="s">
        <v>56</v>
      </c>
      <c r="I25" s="197">
        <v>1.2E-2</v>
      </c>
    </row>
    <row r="26" spans="1:10" x14ac:dyDescent="0.45">
      <c r="A26" t="str">
        <f>"p"&amp;B26&amp;"-"&amp;E26</f>
        <v>p03-04-03-04</v>
      </c>
      <c r="B26" s="192" t="s">
        <v>472</v>
      </c>
      <c r="C26" s="12" t="s">
        <v>280</v>
      </c>
      <c r="D26" s="12" t="s">
        <v>40</v>
      </c>
      <c r="E26" s="196" t="s">
        <v>472</v>
      </c>
      <c r="F26" s="12" t="s">
        <v>280</v>
      </c>
      <c r="G26" t="s">
        <v>40</v>
      </c>
      <c r="H26" t="s">
        <v>737</v>
      </c>
      <c r="I26" s="250">
        <v>30000</v>
      </c>
    </row>
    <row r="27" spans="1:10" x14ac:dyDescent="0.45">
      <c r="A27" t="str">
        <f>"p"&amp;B27&amp;"-"&amp;E27</f>
        <v>p09-08-09-09</v>
      </c>
      <c r="B27" s="308" t="s">
        <v>859</v>
      </c>
      <c r="C27" s="12" t="s">
        <v>183</v>
      </c>
      <c r="D27" s="12" t="s">
        <v>192</v>
      </c>
      <c r="E27" s="309" t="s">
        <v>858</v>
      </c>
      <c r="F27" s="12" t="s">
        <v>860</v>
      </c>
      <c r="G27" s="12" t="s">
        <v>192</v>
      </c>
      <c r="H27" s="12" t="s">
        <v>862</v>
      </c>
      <c r="I27" s="90"/>
      <c r="J27" s="12"/>
    </row>
    <row r="28" spans="1:10" x14ac:dyDescent="0.45">
      <c r="A28" t="str">
        <f t="shared" ref="A28:A31" si="4">"p"&amp;B28&amp;"-"&amp;E28</f>
        <v>p00-06-p09-08-09-09</v>
      </c>
      <c r="B28" s="192" t="s">
        <v>449</v>
      </c>
      <c r="C28" s="9" t="s">
        <v>65</v>
      </c>
      <c r="D28" s="9" t="s">
        <v>41</v>
      </c>
      <c r="E28" s="310" t="s">
        <v>863</v>
      </c>
      <c r="F28" t="s">
        <v>867</v>
      </c>
      <c r="G28" t="s">
        <v>868</v>
      </c>
      <c r="H28" t="s">
        <v>861</v>
      </c>
      <c r="I28" s="90"/>
    </row>
    <row r="29" spans="1:10" x14ac:dyDescent="0.45">
      <c r="A29" t="str">
        <f t="shared" si="4"/>
        <v>p01-01-01-02</v>
      </c>
      <c r="B29" s="308" t="s">
        <v>158</v>
      </c>
      <c r="C29" t="s">
        <v>46</v>
      </c>
      <c r="D29" s="311" t="s">
        <v>41</v>
      </c>
      <c r="E29" s="309" t="s">
        <v>159</v>
      </c>
      <c r="F29" t="s">
        <v>458</v>
      </c>
      <c r="G29" t="s">
        <v>875</v>
      </c>
      <c r="H29" t="s">
        <v>874</v>
      </c>
      <c r="I29" s="90"/>
    </row>
    <row r="30" spans="1:10" x14ac:dyDescent="0.45">
      <c r="A30" t="str">
        <f t="shared" si="4"/>
        <v>p01-03-01-03</v>
      </c>
      <c r="B30" s="308" t="s">
        <v>160</v>
      </c>
      <c r="C30" s="12" t="s">
        <v>166</v>
      </c>
      <c r="D30" s="9" t="s">
        <v>42</v>
      </c>
      <c r="E30" s="308" t="s">
        <v>160</v>
      </c>
      <c r="F30" s="12" t="s">
        <v>166</v>
      </c>
      <c r="G30" s="9" t="s">
        <v>42</v>
      </c>
      <c r="H30" t="s">
        <v>56</v>
      </c>
      <c r="I30" s="90"/>
    </row>
    <row r="31" spans="1:10" x14ac:dyDescent="0.45">
      <c r="A31" t="str">
        <f t="shared" si="4"/>
        <v>p-</v>
      </c>
      <c r="B31" s="192"/>
      <c r="C31" s="12"/>
      <c r="D31" s="12"/>
      <c r="E31" s="12"/>
    </row>
    <row r="32" spans="1:10" x14ac:dyDescent="0.45">
      <c r="C32" s="12"/>
      <c r="D32" s="12"/>
      <c r="E32" s="12"/>
    </row>
    <row r="33" spans="3:5" x14ac:dyDescent="0.45">
      <c r="C33" s="12"/>
      <c r="D33" s="12"/>
      <c r="E33" s="12"/>
    </row>
    <row r="34" spans="3:5" x14ac:dyDescent="0.45">
      <c r="C34" s="12"/>
      <c r="D34" s="12"/>
      <c r="E34" s="12"/>
    </row>
    <row r="35" spans="3:5" x14ac:dyDescent="0.45">
      <c r="C35" s="12"/>
      <c r="D35" s="12"/>
      <c r="E35" s="12"/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8369A-611F-4CAE-9D83-CFA64511DB7E}">
  <sheetPr>
    <tabColor rgb="FFC00000"/>
  </sheetPr>
  <dimension ref="A1:N29"/>
  <sheetViews>
    <sheetView topLeftCell="B1" zoomScale="70" zoomScaleNormal="70" workbookViewId="0">
      <selection activeCell="B3" sqref="B3"/>
    </sheetView>
  </sheetViews>
  <sheetFormatPr defaultColWidth="8.796875" defaultRowHeight="14.25" outlineLevelRow="1" x14ac:dyDescent="0.45"/>
  <cols>
    <col min="1" max="1" width="5.46484375" customWidth="1"/>
    <col min="3" max="4" width="23.33203125" customWidth="1"/>
    <col min="5" max="5" width="18.33203125" customWidth="1"/>
    <col min="6" max="6" width="20.796875" customWidth="1"/>
    <col min="7" max="7" width="12" bestFit="1" customWidth="1"/>
    <col min="8" max="8" width="27.33203125" customWidth="1"/>
    <col min="9" max="9" width="12" customWidth="1"/>
    <col min="10" max="10" width="16.33203125" customWidth="1"/>
    <col min="11" max="11" width="23" customWidth="1"/>
    <col min="12" max="12" width="19.33203125" customWidth="1"/>
    <col min="13" max="13" width="17.46484375" customWidth="1"/>
  </cols>
  <sheetData>
    <row r="1" spans="2:14" x14ac:dyDescent="0.45">
      <c r="C1" s="2" t="s">
        <v>0</v>
      </c>
      <c r="D1" s="2"/>
    </row>
    <row r="3" spans="2:14" s="2" customFormat="1" x14ac:dyDescent="0.45">
      <c r="B3" s="336" t="s">
        <v>825</v>
      </c>
      <c r="C3" s="336" t="s">
        <v>44</v>
      </c>
      <c r="D3" s="336" t="s">
        <v>825</v>
      </c>
      <c r="E3" s="336" t="s">
        <v>45</v>
      </c>
      <c r="F3" s="336" t="s">
        <v>835</v>
      </c>
      <c r="G3" s="336" t="s">
        <v>258</v>
      </c>
      <c r="H3" s="2" t="s">
        <v>258</v>
      </c>
      <c r="I3" s="13" t="s">
        <v>362</v>
      </c>
      <c r="J3" s="13" t="s">
        <v>678</v>
      </c>
      <c r="K3" s="2" t="s">
        <v>91</v>
      </c>
      <c r="L3" s="2" t="s">
        <v>501</v>
      </c>
      <c r="M3" s="2" t="s">
        <v>934</v>
      </c>
      <c r="N3" s="2" t="s">
        <v>935</v>
      </c>
    </row>
    <row r="4" spans="2:14" x14ac:dyDescent="0.45">
      <c r="B4" s="90" t="s">
        <v>444</v>
      </c>
      <c r="C4" s="9" t="str">
        <f>VLOOKUP(B4,Показатели!$A:$M,7,0)</f>
        <v>Площадь ЗУ</v>
      </c>
      <c r="D4" s="9"/>
      <c r="F4" t="s">
        <v>380</v>
      </c>
      <c r="G4" t="s">
        <v>378</v>
      </c>
      <c r="H4" t="s">
        <v>503</v>
      </c>
      <c r="I4" t="s">
        <v>152</v>
      </c>
      <c r="K4" s="2" t="s">
        <v>392</v>
      </c>
      <c r="L4" s="19"/>
    </row>
    <row r="5" spans="2:14" ht="28.5" x14ac:dyDescent="0.45">
      <c r="B5" s="90" t="s">
        <v>445</v>
      </c>
      <c r="C5" s="9" t="str">
        <f>VLOOKUP(B5,Показатели!$A:$M,7,0)</f>
        <v>Плотность застройки</v>
      </c>
      <c r="D5" s="9"/>
      <c r="G5" t="s">
        <v>502</v>
      </c>
      <c r="H5" s="4" t="s">
        <v>504</v>
      </c>
      <c r="I5" t="s">
        <v>152</v>
      </c>
      <c r="K5" s="2" t="s">
        <v>393</v>
      </c>
      <c r="L5" s="19"/>
    </row>
    <row r="6" spans="2:14" x14ac:dyDescent="0.45">
      <c r="B6" s="90" t="s">
        <v>446</v>
      </c>
      <c r="C6" s="9" t="str">
        <f>VLOOKUP(B6,Показатели!$A:$M,7,0)</f>
        <v>ГНС ГПЗУ</v>
      </c>
      <c r="D6" s="9"/>
      <c r="G6" t="s">
        <v>378</v>
      </c>
      <c r="I6" t="s">
        <v>152</v>
      </c>
      <c r="L6" s="19" t="s">
        <v>505</v>
      </c>
    </row>
    <row r="7" spans="2:14" x14ac:dyDescent="0.45">
      <c r="B7" s="90" t="s">
        <v>447</v>
      </c>
      <c r="C7" s="9" t="str">
        <f>VLOOKUP(B7,Показатели!$A:$M,7,0)</f>
        <v>ГНС наземная площадь</v>
      </c>
      <c r="D7" s="9"/>
      <c r="E7" s="18" t="s">
        <v>156</v>
      </c>
      <c r="F7" t="s">
        <v>381</v>
      </c>
      <c r="G7" t="s">
        <v>376</v>
      </c>
      <c r="H7" t="s">
        <v>732</v>
      </c>
      <c r="I7" t="s">
        <v>152</v>
      </c>
      <c r="L7" s="19" t="s">
        <v>506</v>
      </c>
    </row>
    <row r="8" spans="2:14" outlineLevel="1" x14ac:dyDescent="0.45">
      <c r="B8" t="s">
        <v>375</v>
      </c>
      <c r="D8" s="193" t="s">
        <v>19</v>
      </c>
      <c r="E8" s="6" t="s">
        <v>51</v>
      </c>
      <c r="G8" t="s">
        <v>378</v>
      </c>
      <c r="H8" s="4" t="s">
        <v>507</v>
      </c>
      <c r="I8" t="s">
        <v>152</v>
      </c>
      <c r="L8" s="19" t="s">
        <v>506</v>
      </c>
    </row>
    <row r="9" spans="2:14" outlineLevel="1" x14ac:dyDescent="0.45">
      <c r="B9" t="s">
        <v>375</v>
      </c>
      <c r="D9" s="193" t="s">
        <v>158</v>
      </c>
      <c r="E9" s="10" t="s">
        <v>11</v>
      </c>
      <c r="G9" t="s">
        <v>378</v>
      </c>
      <c r="H9" s="4" t="s">
        <v>507</v>
      </c>
      <c r="I9" t="s">
        <v>152</v>
      </c>
      <c r="L9" s="19"/>
    </row>
    <row r="10" spans="2:14" outlineLevel="1" x14ac:dyDescent="0.45">
      <c r="B10" t="s">
        <v>375</v>
      </c>
      <c r="D10" s="193" t="s">
        <v>161</v>
      </c>
      <c r="E10" s="10"/>
      <c r="G10" t="s">
        <v>378</v>
      </c>
      <c r="H10" s="4" t="s">
        <v>507</v>
      </c>
      <c r="I10" t="s">
        <v>152</v>
      </c>
      <c r="L10" s="19"/>
    </row>
    <row r="11" spans="2:14" x14ac:dyDescent="0.45">
      <c r="B11" s="90" t="s">
        <v>448</v>
      </c>
      <c r="C11" s="9" t="str">
        <f>VLOOKUP(B11,Показатели!$A:$M,7,0)</f>
        <v>ОБЩАЯ наземная площадь</v>
      </c>
      <c r="D11" s="9"/>
      <c r="E11" s="18" t="s">
        <v>156</v>
      </c>
      <c r="H11" t="s">
        <v>732</v>
      </c>
      <c r="I11" t="s">
        <v>152</v>
      </c>
      <c r="L11" s="19" t="s">
        <v>734</v>
      </c>
    </row>
    <row r="12" spans="2:14" outlineLevel="1" x14ac:dyDescent="0.45">
      <c r="D12" s="193" t="s">
        <v>19</v>
      </c>
      <c r="E12" s="6" t="s">
        <v>51</v>
      </c>
      <c r="H12" s="4" t="s">
        <v>507</v>
      </c>
      <c r="I12" t="s">
        <v>152</v>
      </c>
      <c r="L12" s="19"/>
    </row>
    <row r="13" spans="2:14" outlineLevel="1" x14ac:dyDescent="0.45">
      <c r="D13" s="193" t="s">
        <v>158</v>
      </c>
      <c r="E13" s="10" t="s">
        <v>11</v>
      </c>
      <c r="H13" s="4" t="s">
        <v>507</v>
      </c>
      <c r="I13" t="s">
        <v>152</v>
      </c>
      <c r="L13" s="19"/>
    </row>
    <row r="14" spans="2:14" outlineLevel="1" x14ac:dyDescent="0.45">
      <c r="D14" s="193" t="s">
        <v>161</v>
      </c>
      <c r="E14" s="10"/>
      <c r="H14" s="4" t="s">
        <v>507</v>
      </c>
      <c r="I14" t="s">
        <v>152</v>
      </c>
      <c r="L14" s="19"/>
    </row>
    <row r="15" spans="2:14" x14ac:dyDescent="0.45">
      <c r="B15" s="90" t="s">
        <v>449</v>
      </c>
      <c r="C15" s="9" t="str">
        <f>VLOOKUP(B15,Показатели!$A:$M,7,0)</f>
        <v>ОБЩАЯ подземная площадь</v>
      </c>
      <c r="D15" s="9"/>
      <c r="E15" s="18" t="s">
        <v>156</v>
      </c>
      <c r="H15" t="s">
        <v>732</v>
      </c>
      <c r="I15" t="s">
        <v>152</v>
      </c>
      <c r="L15" s="19"/>
    </row>
    <row r="16" spans="2:14" outlineLevel="1" x14ac:dyDescent="0.45">
      <c r="B16" t="s">
        <v>375</v>
      </c>
      <c r="D16" s="193" t="s">
        <v>19</v>
      </c>
      <c r="E16" s="6" t="s">
        <v>51</v>
      </c>
      <c r="H16" s="4" t="s">
        <v>507</v>
      </c>
      <c r="I16" t="s">
        <v>152</v>
      </c>
      <c r="L16" s="19"/>
    </row>
    <row r="17" spans="1:12" outlineLevel="1" x14ac:dyDescent="0.45">
      <c r="B17" t="s">
        <v>375</v>
      </c>
      <c r="D17" s="193" t="s">
        <v>158</v>
      </c>
      <c r="E17" s="10" t="s">
        <v>11</v>
      </c>
      <c r="H17" s="4" t="s">
        <v>507</v>
      </c>
      <c r="I17" t="s">
        <v>152</v>
      </c>
      <c r="L17" s="19"/>
    </row>
    <row r="18" spans="1:12" outlineLevel="1" x14ac:dyDescent="0.45">
      <c r="B18" t="s">
        <v>375</v>
      </c>
      <c r="D18" s="193" t="s">
        <v>161</v>
      </c>
      <c r="E18" s="10"/>
      <c r="H18" s="4" t="s">
        <v>507</v>
      </c>
      <c r="I18" t="s">
        <v>152</v>
      </c>
      <c r="L18" s="19"/>
    </row>
    <row r="19" spans="1:12" x14ac:dyDescent="0.45">
      <c r="B19" s="90" t="s">
        <v>450</v>
      </c>
      <c r="C19" s="9" t="str">
        <f>VLOOKUP(B19,Показатели!$A:$M,7,0)</f>
        <v>ПОЛЕЗНАЯ наземная площадь</v>
      </c>
      <c r="D19" s="9"/>
      <c r="E19" s="18" t="s">
        <v>156</v>
      </c>
      <c r="H19" t="s">
        <v>732</v>
      </c>
      <c r="I19" t="s">
        <v>152</v>
      </c>
      <c r="L19" s="19" t="s">
        <v>733</v>
      </c>
    </row>
    <row r="20" spans="1:12" outlineLevel="1" x14ac:dyDescent="0.45">
      <c r="B20" t="s">
        <v>375</v>
      </c>
      <c r="D20" s="193" t="s">
        <v>19</v>
      </c>
      <c r="E20" s="6" t="s">
        <v>51</v>
      </c>
      <c r="H20" s="4" t="s">
        <v>507</v>
      </c>
      <c r="I20" t="s">
        <v>152</v>
      </c>
      <c r="L20" s="19" t="s">
        <v>733</v>
      </c>
    </row>
    <row r="21" spans="1:12" outlineLevel="1" x14ac:dyDescent="0.45">
      <c r="B21" t="s">
        <v>375</v>
      </c>
      <c r="D21" s="193" t="s">
        <v>158</v>
      </c>
      <c r="E21" s="10" t="s">
        <v>11</v>
      </c>
      <c r="H21" s="4" t="s">
        <v>507</v>
      </c>
      <c r="I21" t="s">
        <v>152</v>
      </c>
      <c r="L21" s="19" t="s">
        <v>733</v>
      </c>
    </row>
    <row r="22" spans="1:12" outlineLevel="1" x14ac:dyDescent="0.45">
      <c r="B22" t="s">
        <v>375</v>
      </c>
      <c r="D22" s="193" t="s">
        <v>161</v>
      </c>
      <c r="E22" s="10"/>
      <c r="H22" s="4" t="s">
        <v>507</v>
      </c>
      <c r="I22" t="s">
        <v>152</v>
      </c>
      <c r="L22" s="19" t="s">
        <v>733</v>
      </c>
    </row>
    <row r="23" spans="1:12" x14ac:dyDescent="0.45">
      <c r="B23" s="90" t="s">
        <v>451</v>
      </c>
      <c r="C23" s="9" t="str">
        <f>VLOOKUP(B23,Показатели!$A:$M,7,0)</f>
        <v>ПОЛЕЗНАЯ подземная площадь</v>
      </c>
      <c r="D23" s="9"/>
      <c r="E23" s="18" t="s">
        <v>156</v>
      </c>
      <c r="H23" t="s">
        <v>732</v>
      </c>
      <c r="I23" t="s">
        <v>152</v>
      </c>
      <c r="L23" s="19" t="s">
        <v>733</v>
      </c>
    </row>
    <row r="24" spans="1:12" outlineLevel="1" x14ac:dyDescent="0.45">
      <c r="B24" t="s">
        <v>375</v>
      </c>
      <c r="D24" s="193" t="s">
        <v>19</v>
      </c>
      <c r="E24" s="6" t="s">
        <v>51</v>
      </c>
      <c r="H24" s="4" t="s">
        <v>507</v>
      </c>
      <c r="I24" t="s">
        <v>152</v>
      </c>
      <c r="L24" s="19" t="s">
        <v>733</v>
      </c>
    </row>
    <row r="25" spans="1:12" outlineLevel="1" x14ac:dyDescent="0.45">
      <c r="B25" t="s">
        <v>375</v>
      </c>
      <c r="D25" s="193" t="s">
        <v>158</v>
      </c>
      <c r="E25" s="10" t="s">
        <v>11</v>
      </c>
      <c r="H25" s="4" t="s">
        <v>507</v>
      </c>
      <c r="I25" t="s">
        <v>152</v>
      </c>
      <c r="L25" s="19" t="s">
        <v>733</v>
      </c>
    </row>
    <row r="26" spans="1:12" outlineLevel="1" x14ac:dyDescent="0.45">
      <c r="B26" t="s">
        <v>375</v>
      </c>
      <c r="D26" s="193" t="s">
        <v>161</v>
      </c>
      <c r="E26" s="10"/>
      <c r="H26" s="4" t="s">
        <v>507</v>
      </c>
      <c r="I26" t="s">
        <v>152</v>
      </c>
      <c r="L26" s="19" t="s">
        <v>733</v>
      </c>
    </row>
    <row r="27" spans="1:12" x14ac:dyDescent="0.45">
      <c r="A27" s="326"/>
      <c r="B27" s="193" t="s">
        <v>896</v>
      </c>
      <c r="C27" s="324" t="str">
        <f>VLOOKUP(B27,Показатели!$A:$M,7,0)</f>
        <v>LF, %</v>
      </c>
      <c r="D27" s="324"/>
      <c r="E27" s="330" t="s">
        <v>193</v>
      </c>
      <c r="F27" s="331"/>
      <c r="G27" s="326"/>
      <c r="H27" s="321" t="s">
        <v>898</v>
      </c>
      <c r="I27" t="s">
        <v>152</v>
      </c>
      <c r="L27" s="19"/>
    </row>
    <row r="28" spans="1:12" x14ac:dyDescent="0.45">
      <c r="A28" s="326"/>
      <c r="B28" s="193" t="s">
        <v>897</v>
      </c>
      <c r="C28" s="324" t="str">
        <f>VLOOKUP(B28,Показатели!$A:$M,7,0)</f>
        <v>LF стены, %</v>
      </c>
      <c r="D28" s="324"/>
      <c r="E28" s="332" t="s">
        <v>299</v>
      </c>
      <c r="F28" s="333"/>
      <c r="G28" s="326"/>
      <c r="H28" s="322" t="s">
        <v>898</v>
      </c>
      <c r="I28" t="s">
        <v>152</v>
      </c>
      <c r="L28" s="19"/>
    </row>
    <row r="29" spans="1:12" x14ac:dyDescent="0.45">
      <c r="A29" s="326"/>
      <c r="B29" s="326"/>
      <c r="C29" s="326"/>
      <c r="D29" s="326"/>
      <c r="E29" s="326"/>
      <c r="F29" s="326"/>
      <c r="G29" s="326"/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F926B-6D00-4D67-B3EF-EF70C153582D}">
  <sheetPr>
    <tabColor rgb="FFFF0000"/>
  </sheetPr>
  <dimension ref="A1:H21"/>
  <sheetViews>
    <sheetView zoomScaleNormal="100" workbookViewId="0">
      <selection activeCell="B5" sqref="B5"/>
    </sheetView>
  </sheetViews>
  <sheetFormatPr defaultColWidth="8.796875" defaultRowHeight="14.25" x14ac:dyDescent="0.45"/>
  <cols>
    <col min="3" max="3" width="29.33203125" customWidth="1"/>
    <col min="5" max="5" width="14.73046875" customWidth="1"/>
    <col min="6" max="6" width="19.33203125" customWidth="1"/>
  </cols>
  <sheetData>
    <row r="1" spans="2:8" x14ac:dyDescent="0.45">
      <c r="B1" s="2" t="s">
        <v>906</v>
      </c>
    </row>
    <row r="3" spans="2:8" x14ac:dyDescent="0.45">
      <c r="G3" t="s">
        <v>254</v>
      </c>
      <c r="H3">
        <v>22.5</v>
      </c>
    </row>
    <row r="4" spans="2:8" x14ac:dyDescent="0.45">
      <c r="B4" t="s">
        <v>907</v>
      </c>
      <c r="G4" s="3" t="s">
        <v>383</v>
      </c>
      <c r="H4">
        <v>6</v>
      </c>
    </row>
    <row r="5" spans="2:8" x14ac:dyDescent="0.45">
      <c r="G5" s="3" t="s">
        <v>385</v>
      </c>
      <c r="H5">
        <v>16.5</v>
      </c>
    </row>
    <row r="6" spans="2:8" x14ac:dyDescent="0.45">
      <c r="B6" t="s">
        <v>493</v>
      </c>
      <c r="G6" s="54" t="s">
        <v>391</v>
      </c>
    </row>
    <row r="7" spans="2:8" x14ac:dyDescent="0.45">
      <c r="B7" t="s">
        <v>373</v>
      </c>
      <c r="C7" t="s">
        <v>382</v>
      </c>
      <c r="D7">
        <v>10</v>
      </c>
      <c r="E7">
        <v>21</v>
      </c>
      <c r="F7" t="s">
        <v>390</v>
      </c>
    </row>
    <row r="8" spans="2:8" x14ac:dyDescent="0.45">
      <c r="B8" t="s">
        <v>373</v>
      </c>
      <c r="C8" t="s">
        <v>384</v>
      </c>
      <c r="D8">
        <v>12</v>
      </c>
      <c r="E8">
        <v>22</v>
      </c>
      <c r="F8" t="s">
        <v>390</v>
      </c>
    </row>
    <row r="10" spans="2:8" x14ac:dyDescent="0.45">
      <c r="B10" t="s">
        <v>494</v>
      </c>
    </row>
    <row r="11" spans="2:8" x14ac:dyDescent="0.45">
      <c r="B11" s="2" t="s">
        <v>373</v>
      </c>
      <c r="C11" s="2" t="s">
        <v>386</v>
      </c>
      <c r="D11" s="2">
        <v>5</v>
      </c>
      <c r="E11" s="2">
        <v>21</v>
      </c>
      <c r="F11" s="2" t="s">
        <v>383</v>
      </c>
    </row>
    <row r="12" spans="2:8" x14ac:dyDescent="0.45">
      <c r="B12" s="2"/>
      <c r="C12" s="2" t="s">
        <v>386</v>
      </c>
      <c r="D12" s="2">
        <v>5</v>
      </c>
      <c r="E12" s="2">
        <v>21</v>
      </c>
      <c r="F12" s="2" t="s">
        <v>385</v>
      </c>
    </row>
    <row r="13" spans="2:8" x14ac:dyDescent="0.45">
      <c r="B13" s="2" t="s">
        <v>373</v>
      </c>
      <c r="C13" s="2" t="s">
        <v>387</v>
      </c>
      <c r="D13" s="2">
        <v>6</v>
      </c>
      <c r="E13" s="2">
        <v>22</v>
      </c>
      <c r="F13" s="2" t="s">
        <v>383</v>
      </c>
    </row>
    <row r="14" spans="2:8" x14ac:dyDescent="0.45">
      <c r="B14" s="2" t="s">
        <v>373</v>
      </c>
      <c r="C14" s="2" t="s">
        <v>387</v>
      </c>
      <c r="D14" s="2">
        <v>4</v>
      </c>
      <c r="E14" s="2">
        <v>22</v>
      </c>
      <c r="F14" s="2" t="s">
        <v>385</v>
      </c>
    </row>
    <row r="17" spans="1:7" x14ac:dyDescent="0.45">
      <c r="B17" t="s">
        <v>495</v>
      </c>
    </row>
    <row r="18" spans="1:7" x14ac:dyDescent="0.45">
      <c r="B18" t="s">
        <v>373</v>
      </c>
      <c r="C18" t="s">
        <v>386</v>
      </c>
      <c r="D18">
        <v>11</v>
      </c>
      <c r="E18" t="s">
        <v>388</v>
      </c>
      <c r="F18" t="s">
        <v>254</v>
      </c>
      <c r="G18" s="2" t="s">
        <v>496</v>
      </c>
    </row>
    <row r="19" spans="1:7" x14ac:dyDescent="0.45">
      <c r="B19" t="s">
        <v>373</v>
      </c>
      <c r="C19" t="s">
        <v>387</v>
      </c>
      <c r="D19">
        <v>9</v>
      </c>
      <c r="E19" t="s">
        <v>389</v>
      </c>
      <c r="F19" t="s">
        <v>254</v>
      </c>
    </row>
    <row r="20" spans="1:7" x14ac:dyDescent="0.45">
      <c r="A20" s="2"/>
      <c r="B20" s="2" t="s">
        <v>373</v>
      </c>
      <c r="C20" s="2" t="s">
        <v>386</v>
      </c>
      <c r="D20" s="2">
        <v>11</v>
      </c>
      <c r="E20" s="2" t="s">
        <v>388</v>
      </c>
      <c r="F20" s="2" t="s">
        <v>383</v>
      </c>
    </row>
    <row r="21" spans="1:7" x14ac:dyDescent="0.45">
      <c r="A21" s="2"/>
      <c r="B21" s="2" t="s">
        <v>373</v>
      </c>
      <c r="C21" s="2" t="s">
        <v>387</v>
      </c>
      <c r="D21" s="2">
        <v>9</v>
      </c>
      <c r="E21" s="2" t="s">
        <v>389</v>
      </c>
      <c r="F21" s="2" t="s">
        <v>385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B00F4-00F2-46CD-AF8C-8C5E083C28B0}">
  <sheetPr>
    <tabColor rgb="FFC00000"/>
  </sheetPr>
  <dimension ref="B4:Y34"/>
  <sheetViews>
    <sheetView zoomScale="55" zoomScaleNormal="55" workbookViewId="0">
      <selection activeCell="B4" sqref="B4:G4"/>
    </sheetView>
  </sheetViews>
  <sheetFormatPr defaultColWidth="8.796875" defaultRowHeight="14.25" outlineLevelRow="1" x14ac:dyDescent="0.45"/>
  <cols>
    <col min="1" max="1" width="5.46484375" customWidth="1"/>
    <col min="2" max="2" width="23.33203125" customWidth="1"/>
    <col min="3" max="3" width="32.46484375" customWidth="1"/>
    <col min="4" max="4" width="17.33203125" customWidth="1"/>
    <col min="5" max="5" width="25.796875" customWidth="1"/>
    <col min="7" max="7" width="22" style="9" customWidth="1"/>
    <col min="8" max="8" width="8" customWidth="1"/>
    <col min="9" max="10" width="56.796875" customWidth="1"/>
    <col min="11" max="15" width="5.6640625" customWidth="1"/>
    <col min="16" max="16" width="5.9296875" customWidth="1"/>
    <col min="25" max="25" width="51.6640625" style="4" customWidth="1"/>
  </cols>
  <sheetData>
    <row r="4" spans="2:25" x14ac:dyDescent="0.45">
      <c r="B4" s="336" t="s">
        <v>825</v>
      </c>
      <c r="C4" s="336" t="s">
        <v>44</v>
      </c>
      <c r="D4" s="336" t="s">
        <v>825</v>
      </c>
      <c r="E4" s="336" t="s">
        <v>45</v>
      </c>
      <c r="F4" s="336" t="s">
        <v>835</v>
      </c>
      <c r="G4" s="336" t="s">
        <v>258</v>
      </c>
      <c r="H4" s="13" t="s">
        <v>362</v>
      </c>
      <c r="I4" s="13" t="s">
        <v>678</v>
      </c>
      <c r="J4" s="13" t="s">
        <v>901</v>
      </c>
      <c r="K4" s="2" t="s">
        <v>91</v>
      </c>
      <c r="L4" s="2" t="s">
        <v>501</v>
      </c>
      <c r="M4" s="2" t="s">
        <v>934</v>
      </c>
      <c r="N4" s="2" t="s">
        <v>935</v>
      </c>
      <c r="O4" s="13"/>
    </row>
    <row r="5" spans="2:25" ht="114" x14ac:dyDescent="0.45">
      <c r="B5" s="90" t="s">
        <v>158</v>
      </c>
      <c r="C5" s="9" t="str">
        <f>VLOOKUP(B5,Показатели!$A:$M,7,0)</f>
        <v>Обьем продаж</v>
      </c>
      <c r="D5" s="9"/>
      <c r="E5" s="18" t="s">
        <v>156</v>
      </c>
      <c r="G5" s="309" t="s">
        <v>899</v>
      </c>
      <c r="H5" t="s">
        <v>905</v>
      </c>
      <c r="I5" s="58" t="s">
        <v>589</v>
      </c>
      <c r="J5" s="328" t="s">
        <v>900</v>
      </c>
      <c r="K5" s="312"/>
      <c r="L5" s="312"/>
      <c r="M5" s="312"/>
      <c r="N5" s="312"/>
      <c r="O5" s="312"/>
      <c r="Y5" s="55" t="s">
        <v>395</v>
      </c>
    </row>
    <row r="6" spans="2:25" outlineLevel="1" x14ac:dyDescent="0.45">
      <c r="B6" s="6" t="s">
        <v>459</v>
      </c>
      <c r="C6" s="9"/>
      <c r="D6" s="193" t="s">
        <v>19</v>
      </c>
      <c r="E6" s="6" t="s">
        <v>51</v>
      </c>
      <c r="H6" t="s">
        <v>905</v>
      </c>
      <c r="R6">
        <v>30</v>
      </c>
      <c r="S6">
        <v>60</v>
      </c>
    </row>
    <row r="7" spans="2:25" outlineLevel="1" x14ac:dyDescent="0.45">
      <c r="B7" s="6" t="s">
        <v>459</v>
      </c>
      <c r="C7" s="9"/>
      <c r="D7" s="193" t="s">
        <v>158</v>
      </c>
      <c r="E7" s="10" t="s">
        <v>11</v>
      </c>
      <c r="H7" t="s">
        <v>905</v>
      </c>
    </row>
    <row r="8" spans="2:25" outlineLevel="1" x14ac:dyDescent="0.45">
      <c r="B8" s="6" t="s">
        <v>459</v>
      </c>
      <c r="C8" s="9"/>
      <c r="D8" s="193" t="s">
        <v>161</v>
      </c>
      <c r="E8" s="10"/>
      <c r="H8" t="s">
        <v>905</v>
      </c>
      <c r="P8" t="s">
        <v>363</v>
      </c>
      <c r="Q8" t="s">
        <v>41</v>
      </c>
      <c r="R8" t="s">
        <v>364</v>
      </c>
      <c r="S8" t="s">
        <v>365</v>
      </c>
    </row>
    <row r="9" spans="2:25" s="14" customFormat="1" ht="185.25" x14ac:dyDescent="0.45">
      <c r="B9" s="329" t="s">
        <v>159</v>
      </c>
      <c r="C9" s="9" t="str">
        <f>VLOOKUP(B9,Показатели!$A:$M,7,0)</f>
        <v>Цена продаж</v>
      </c>
      <c r="E9" s="14" t="s">
        <v>156</v>
      </c>
      <c r="G9" s="304" t="s">
        <v>851</v>
      </c>
      <c r="H9" t="s">
        <v>905</v>
      </c>
      <c r="I9" s="53" t="s">
        <v>590</v>
      </c>
      <c r="J9" s="312"/>
      <c r="K9" s="312"/>
      <c r="L9" s="312"/>
      <c r="M9" s="312"/>
      <c r="N9" s="312"/>
      <c r="O9" s="312"/>
      <c r="P9" s="15">
        <v>20</v>
      </c>
      <c r="Q9" s="15">
        <v>5</v>
      </c>
      <c r="R9" s="15">
        <v>6</v>
      </c>
      <c r="S9" s="15"/>
      <c r="W9" s="14">
        <v>30</v>
      </c>
      <c r="Y9" s="53" t="s">
        <v>366</v>
      </c>
    </row>
    <row r="10" spans="2:25" s="2" customFormat="1" outlineLevel="1" x14ac:dyDescent="0.45">
      <c r="B10" s="14" t="s">
        <v>459</v>
      </c>
      <c r="D10" s="193" t="s">
        <v>19</v>
      </c>
      <c r="E10" s="14" t="s">
        <v>51</v>
      </c>
      <c r="G10" s="18"/>
      <c r="H10" t="s">
        <v>905</v>
      </c>
      <c r="P10" s="2">
        <v>4</v>
      </c>
      <c r="Q10" s="2">
        <v>5</v>
      </c>
      <c r="R10" s="2">
        <v>8</v>
      </c>
      <c r="S10" s="2">
        <v>13</v>
      </c>
      <c r="T10" s="2">
        <v>13</v>
      </c>
      <c r="U10" s="2">
        <v>15</v>
      </c>
      <c r="V10" s="2">
        <v>12</v>
      </c>
      <c r="W10" s="2">
        <v>11</v>
      </c>
      <c r="Y10" s="11"/>
    </row>
    <row r="11" spans="2:25" s="2" customFormat="1" outlineLevel="1" x14ac:dyDescent="0.45">
      <c r="B11" s="14" t="s">
        <v>459</v>
      </c>
      <c r="D11" s="193" t="s">
        <v>158</v>
      </c>
      <c r="E11" s="52" t="s">
        <v>11</v>
      </c>
      <c r="G11" s="18"/>
      <c r="H11" t="s">
        <v>905</v>
      </c>
      <c r="P11" s="14">
        <v>4</v>
      </c>
      <c r="Q11" s="14">
        <v>5</v>
      </c>
      <c r="R11" s="14">
        <v>8</v>
      </c>
      <c r="S11" s="14">
        <v>13</v>
      </c>
      <c r="T11" s="14">
        <v>13</v>
      </c>
      <c r="U11" s="14">
        <v>13</v>
      </c>
      <c r="V11" s="14">
        <v>13</v>
      </c>
      <c r="Y11" s="11"/>
    </row>
    <row r="12" spans="2:25" s="2" customFormat="1" outlineLevel="1" x14ac:dyDescent="0.45">
      <c r="B12" s="14" t="s">
        <v>459</v>
      </c>
      <c r="D12" s="193" t="s">
        <v>161</v>
      </c>
      <c r="E12" s="52"/>
      <c r="G12" s="18"/>
      <c r="H12" t="s">
        <v>905</v>
      </c>
      <c r="Y12" s="11"/>
    </row>
    <row r="13" spans="2:25" ht="42.75" x14ac:dyDescent="0.45">
      <c r="B13" s="119" t="s">
        <v>160</v>
      </c>
      <c r="C13" s="324" t="str">
        <f>VLOOKUP(B13,Показатели!$A:$M,7,0)</f>
        <v>Кол-во продаж</v>
      </c>
      <c r="D13" s="324"/>
      <c r="E13" s="325" t="s">
        <v>156</v>
      </c>
      <c r="G13" s="309" t="s">
        <v>902</v>
      </c>
      <c r="H13" t="s">
        <v>905</v>
      </c>
    </row>
    <row r="14" spans="2:25" outlineLevel="1" x14ac:dyDescent="0.45">
      <c r="B14" s="323" t="s">
        <v>459</v>
      </c>
      <c r="C14" s="326"/>
      <c r="D14" s="193" t="s">
        <v>19</v>
      </c>
      <c r="E14" s="323" t="s">
        <v>51</v>
      </c>
      <c r="H14" t="s">
        <v>905</v>
      </c>
    </row>
    <row r="15" spans="2:25" outlineLevel="1" x14ac:dyDescent="0.45">
      <c r="B15" s="323" t="s">
        <v>459</v>
      </c>
      <c r="C15" s="326"/>
      <c r="D15" s="193" t="s">
        <v>158</v>
      </c>
      <c r="E15" s="327" t="s">
        <v>11</v>
      </c>
      <c r="H15" t="s">
        <v>905</v>
      </c>
    </row>
    <row r="16" spans="2:25" outlineLevel="1" x14ac:dyDescent="0.45">
      <c r="B16" s="323" t="s">
        <v>459</v>
      </c>
      <c r="C16" s="326"/>
      <c r="D16" s="193" t="s">
        <v>161</v>
      </c>
      <c r="E16" s="327"/>
      <c r="H16" t="s">
        <v>905</v>
      </c>
    </row>
    <row r="17" spans="2:9" x14ac:dyDescent="0.45">
      <c r="B17" s="119" t="s">
        <v>460</v>
      </c>
      <c r="C17" s="9" t="str">
        <f>VLOOKUP(B17,Показатели!$A:$M,7,0)</f>
        <v>Продажи выручка</v>
      </c>
      <c r="D17" s="9"/>
      <c r="E17" s="18" t="s">
        <v>156</v>
      </c>
      <c r="G17" s="304" t="s">
        <v>851</v>
      </c>
      <c r="H17" t="s">
        <v>905</v>
      </c>
    </row>
    <row r="18" spans="2:9" outlineLevel="1" x14ac:dyDescent="0.45">
      <c r="B18" s="6" t="s">
        <v>459</v>
      </c>
      <c r="D18" s="193" t="s">
        <v>19</v>
      </c>
      <c r="E18" s="6" t="s">
        <v>51</v>
      </c>
      <c r="H18" t="s">
        <v>905</v>
      </c>
    </row>
    <row r="19" spans="2:9" outlineLevel="1" x14ac:dyDescent="0.45">
      <c r="B19" s="6" t="s">
        <v>459</v>
      </c>
      <c r="D19" s="193" t="s">
        <v>158</v>
      </c>
      <c r="E19" s="10" t="s">
        <v>11</v>
      </c>
      <c r="H19" t="s">
        <v>905</v>
      </c>
    </row>
    <row r="20" spans="2:9" outlineLevel="1" x14ac:dyDescent="0.45">
      <c r="B20" s="6" t="s">
        <v>459</v>
      </c>
      <c r="D20" s="193" t="s">
        <v>161</v>
      </c>
      <c r="E20" s="10"/>
      <c r="H20" t="s">
        <v>905</v>
      </c>
    </row>
    <row r="21" spans="2:9" ht="85.5" x14ac:dyDescent="0.45">
      <c r="B21" s="119" t="s">
        <v>461</v>
      </c>
      <c r="C21" s="9" t="str">
        <f>VLOOKUP(B21,Показатели!$A:$M,7,0)</f>
        <v>Поступления от реализации ОН</v>
      </c>
      <c r="D21" s="9"/>
      <c r="E21" s="18" t="s">
        <v>156</v>
      </c>
      <c r="G21" s="334" t="s">
        <v>903</v>
      </c>
      <c r="H21" t="s">
        <v>905</v>
      </c>
      <c r="I21" s="48" t="s">
        <v>904</v>
      </c>
    </row>
    <row r="22" spans="2:9" outlineLevel="1" x14ac:dyDescent="0.45">
      <c r="B22" s="6" t="s">
        <v>462</v>
      </c>
      <c r="D22" s="193" t="s">
        <v>19</v>
      </c>
      <c r="E22" s="6" t="s">
        <v>51</v>
      </c>
      <c r="H22" t="s">
        <v>905</v>
      </c>
    </row>
    <row r="23" spans="2:9" outlineLevel="1" x14ac:dyDescent="0.45">
      <c r="B23" s="6" t="s">
        <v>462</v>
      </c>
      <c r="D23" s="193" t="s">
        <v>158</v>
      </c>
      <c r="E23" s="10" t="s">
        <v>11</v>
      </c>
      <c r="H23" t="s">
        <v>905</v>
      </c>
    </row>
    <row r="24" spans="2:9" outlineLevel="1" x14ac:dyDescent="0.45">
      <c r="B24" s="6" t="s">
        <v>462</v>
      </c>
      <c r="D24" s="193" t="s">
        <v>161</v>
      </c>
      <c r="E24" s="10"/>
      <c r="H24" t="s">
        <v>905</v>
      </c>
    </row>
    <row r="25" spans="2:9" x14ac:dyDescent="0.45">
      <c r="B25" s="119" t="s">
        <v>463</v>
      </c>
      <c r="C25" s="9" t="str">
        <f>VLOOKUP(B25,Показатели!$A:$M,7,0)</f>
        <v>Прочие опер поступления</v>
      </c>
      <c r="D25" s="9"/>
      <c r="E25" s="18"/>
      <c r="G25" s="304" t="s">
        <v>851</v>
      </c>
      <c r="H25" t="s">
        <v>905</v>
      </c>
    </row>
    <row r="26" spans="2:9" x14ac:dyDescent="0.45">
      <c r="B26" s="119" t="s">
        <v>464</v>
      </c>
      <c r="C26" s="9" t="str">
        <f>VLOOKUP(B26,Показатели!$A:$M,7,0)</f>
        <v>Поступления по аренде</v>
      </c>
      <c r="G26" s="304" t="s">
        <v>851</v>
      </c>
      <c r="H26" t="s">
        <v>905</v>
      </c>
    </row>
    <row r="27" spans="2:9" x14ac:dyDescent="0.45">
      <c r="B27" s="119" t="s">
        <v>465</v>
      </c>
      <c r="C27" s="9" t="str">
        <f>VLOOKUP(B27,Показатели!$A:$M,7,0)</f>
        <v>Поступления по услугам эксплуатации</v>
      </c>
      <c r="G27" s="304" t="s">
        <v>851</v>
      </c>
      <c r="H27" t="s">
        <v>905</v>
      </c>
    </row>
    <row r="28" spans="2:9" x14ac:dyDescent="0.45">
      <c r="B28" s="119" t="s">
        <v>466</v>
      </c>
      <c r="C28" s="9" t="str">
        <f>VLOOKUP(B28,Показатели!$A:$M,7,0)</f>
        <v>Реализация основных средств</v>
      </c>
      <c r="F28" t="s">
        <v>40</v>
      </c>
      <c r="G28" s="304" t="s">
        <v>851</v>
      </c>
      <c r="H28" t="s">
        <v>905</v>
      </c>
    </row>
    <row r="29" spans="2:9" x14ac:dyDescent="0.45">
      <c r="B29" s="119" t="s">
        <v>467</v>
      </c>
      <c r="C29" s="9" t="str">
        <f>VLOOKUP(B29,Показатели!$A:$M,7,0)</f>
        <v>Прочие поступления ЗУ+</v>
      </c>
      <c r="F29" t="s">
        <v>40</v>
      </c>
      <c r="G29" s="304" t="s">
        <v>851</v>
      </c>
      <c r="H29" t="s">
        <v>905</v>
      </c>
    </row>
    <row r="30" spans="2:9" x14ac:dyDescent="0.45">
      <c r="B30" s="119" t="s">
        <v>468</v>
      </c>
      <c r="C30" s="9" t="str">
        <f>VLOOKUP(B30,Показатели!$A:$M,7,0)</f>
        <v>Прочие поступления %</v>
      </c>
      <c r="F30" t="s">
        <v>40</v>
      </c>
      <c r="G30" s="304" t="s">
        <v>851</v>
      </c>
      <c r="H30" t="s">
        <v>905</v>
      </c>
    </row>
    <row r="34" spans="9:15" x14ac:dyDescent="0.45">
      <c r="I34" s="19" t="s">
        <v>394</v>
      </c>
      <c r="J34" s="19"/>
      <c r="K34" s="19"/>
      <c r="L34" s="19"/>
      <c r="M34" s="19"/>
      <c r="N34" s="19"/>
      <c r="O34" s="19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706FB-DA32-FA4C-A8A5-8D7C7CEEDBD1}">
  <sheetPr>
    <tabColor rgb="FFFFC000"/>
  </sheetPr>
  <dimension ref="A1:AA142"/>
  <sheetViews>
    <sheetView topLeftCell="A64" zoomScale="70" zoomScaleNormal="70" workbookViewId="0">
      <selection activeCell="H97" sqref="H97"/>
    </sheetView>
  </sheetViews>
  <sheetFormatPr defaultColWidth="8.796875" defaultRowHeight="14.25" outlineLevelRow="1" x14ac:dyDescent="0.45"/>
  <cols>
    <col min="3" max="3" width="29" customWidth="1"/>
    <col min="4" max="5" width="26.1328125" bestFit="1" customWidth="1"/>
    <col min="6" max="6" width="19.33203125" customWidth="1"/>
    <col min="7" max="7" width="17.6640625" customWidth="1"/>
    <col min="8" max="8" width="54" customWidth="1"/>
    <col min="9" max="9" width="41" customWidth="1"/>
    <col min="14" max="14" width="14.33203125" customWidth="1"/>
    <col min="15" max="15" width="21.33203125" customWidth="1"/>
    <col min="17" max="17" width="12.796875" bestFit="1" customWidth="1"/>
    <col min="18" max="18" width="10" bestFit="1" customWidth="1"/>
    <col min="19" max="19" width="10.33203125" customWidth="1"/>
  </cols>
  <sheetData>
    <row r="1" spans="1:9" s="17" customFormat="1" x14ac:dyDescent="0.45">
      <c r="A1" s="13" t="s">
        <v>498</v>
      </c>
    </row>
    <row r="2" spans="1:9" s="17" customFormat="1" x14ac:dyDescent="0.45">
      <c r="A2" s="13"/>
    </row>
    <row r="3" spans="1:9" s="17" customFormat="1" outlineLevel="1" x14ac:dyDescent="0.45">
      <c r="A3" s="13"/>
      <c r="B3" s="17" t="s">
        <v>618</v>
      </c>
    </row>
    <row r="4" spans="1:9" s="17" customFormat="1" outlineLevel="1" x14ac:dyDescent="0.45">
      <c r="A4" s="13"/>
    </row>
    <row r="5" spans="1:9" s="17" customFormat="1" outlineLevel="1" x14ac:dyDescent="0.45">
      <c r="A5" s="13"/>
      <c r="B5" s="17" t="s">
        <v>620</v>
      </c>
      <c r="C5" s="17" t="s">
        <v>619</v>
      </c>
      <c r="D5" s="17" t="s">
        <v>43</v>
      </c>
      <c r="E5" s="17" t="s">
        <v>627</v>
      </c>
      <c r="F5" s="17" t="s">
        <v>622</v>
      </c>
      <c r="G5" s="17" t="s">
        <v>628</v>
      </c>
      <c r="H5" s="17" t="s">
        <v>376</v>
      </c>
      <c r="I5" s="164" t="s">
        <v>634</v>
      </c>
    </row>
    <row r="6" spans="1:9" s="17" customFormat="1" outlineLevel="1" x14ac:dyDescent="0.45">
      <c r="A6" s="13"/>
      <c r="B6" s="157" t="s">
        <v>621</v>
      </c>
      <c r="C6" s="158" t="s">
        <v>450</v>
      </c>
      <c r="D6" s="158" t="s">
        <v>599</v>
      </c>
      <c r="E6" s="158" t="str">
        <f>Ф0!C19</f>
        <v>ПОЛЕЗНАЯ наземная площадь</v>
      </c>
      <c r="F6" s="17" t="s">
        <v>624</v>
      </c>
      <c r="G6" s="17" t="s">
        <v>41</v>
      </c>
    </row>
    <row r="7" spans="1:9" s="17" customFormat="1" outlineLevel="1" x14ac:dyDescent="0.45">
      <c r="A7" s="13"/>
      <c r="C7" s="191" t="str">
        <f>Показатели!A119</f>
        <v>77-01</v>
      </c>
      <c r="D7" s="158" t="s">
        <v>599</v>
      </c>
      <c r="E7" t="s">
        <v>631</v>
      </c>
      <c r="F7" s="17" t="s">
        <v>643</v>
      </c>
      <c r="G7" s="17" t="s">
        <v>615</v>
      </c>
      <c r="H7" s="17" t="s">
        <v>626</v>
      </c>
      <c r="I7" s="17" t="s">
        <v>854</v>
      </c>
    </row>
    <row r="8" spans="1:9" s="17" customFormat="1" outlineLevel="1" x14ac:dyDescent="0.45">
      <c r="A8" s="13"/>
      <c r="C8" s="191" t="str">
        <f>Показатели!A120</f>
        <v>77-02</v>
      </c>
      <c r="D8" s="158" t="s">
        <v>599</v>
      </c>
      <c r="E8" t="s">
        <v>632</v>
      </c>
      <c r="F8" s="17" t="s">
        <v>643</v>
      </c>
      <c r="G8" s="17" t="s">
        <v>615</v>
      </c>
      <c r="H8" s="17" t="s">
        <v>626</v>
      </c>
      <c r="I8" s="17" t="s">
        <v>854</v>
      </c>
    </row>
    <row r="9" spans="1:9" s="17" customFormat="1" ht="28.5" outlineLevel="1" x14ac:dyDescent="0.45">
      <c r="A9" s="13"/>
      <c r="C9" s="90"/>
      <c r="D9" s="158" t="s">
        <v>599</v>
      </c>
      <c r="E9" t="s">
        <v>629</v>
      </c>
      <c r="G9" s="17" t="s">
        <v>630</v>
      </c>
      <c r="H9" s="306" t="s">
        <v>864</v>
      </c>
      <c r="I9" s="17" t="s">
        <v>855</v>
      </c>
    </row>
    <row r="10" spans="1:9" s="17" customFormat="1" ht="28.5" outlineLevel="1" x14ac:dyDescent="0.45">
      <c r="A10" s="13"/>
      <c r="C10" s="90"/>
      <c r="D10" s="158"/>
      <c r="E10" t="s">
        <v>856</v>
      </c>
      <c r="G10" s="17" t="s">
        <v>41</v>
      </c>
      <c r="H10" s="306" t="s">
        <v>865</v>
      </c>
      <c r="I10" s="17" t="s">
        <v>857</v>
      </c>
    </row>
    <row r="11" spans="1:9" s="17" customFormat="1" ht="105" customHeight="1" outlineLevel="1" x14ac:dyDescent="0.45">
      <c r="A11" s="13"/>
      <c r="C11" s="90" t="s">
        <v>158</v>
      </c>
      <c r="D11" s="12" t="s">
        <v>46</v>
      </c>
      <c r="E11" s="12" t="str">
        <f>D11</f>
        <v>Обьем продаж</v>
      </c>
      <c r="F11" s="17" t="s">
        <v>625</v>
      </c>
      <c r="G11" s="17" t="s">
        <v>41</v>
      </c>
      <c r="H11" s="161" t="s">
        <v>633</v>
      </c>
      <c r="I11" s="163" t="s">
        <v>635</v>
      </c>
    </row>
    <row r="12" spans="1:9" s="17" customFormat="1" outlineLevel="1" x14ac:dyDescent="0.45">
      <c r="A12" s="13"/>
    </row>
    <row r="13" spans="1:9" outlineLevel="1" x14ac:dyDescent="0.45">
      <c r="A13" s="2" t="s">
        <v>623</v>
      </c>
    </row>
    <row r="14" spans="1:9" outlineLevel="1" x14ac:dyDescent="0.45">
      <c r="B14" t="s">
        <v>374</v>
      </c>
      <c r="C14" t="s">
        <v>412</v>
      </c>
    </row>
    <row r="15" spans="1:9" outlineLevel="1" x14ac:dyDescent="0.45">
      <c r="B15" t="s">
        <v>413</v>
      </c>
      <c r="C15" t="s">
        <v>869</v>
      </c>
    </row>
    <row r="16" spans="1:9" outlineLevel="1" x14ac:dyDescent="0.45"/>
    <row r="17" spans="1:16" outlineLevel="1" x14ac:dyDescent="0.45"/>
    <row r="18" spans="1:16" outlineLevel="1" x14ac:dyDescent="0.45"/>
    <row r="19" spans="1:16" outlineLevel="1" x14ac:dyDescent="0.45">
      <c r="B19" s="2" t="s">
        <v>257</v>
      </c>
      <c r="C19" t="s">
        <v>415</v>
      </c>
    </row>
    <row r="20" spans="1:16" outlineLevel="1" x14ac:dyDescent="0.45"/>
    <row r="21" spans="1:16" outlineLevel="1" x14ac:dyDescent="0.45"/>
    <row r="22" spans="1:16" outlineLevel="1" x14ac:dyDescent="0.45">
      <c r="A22" s="2" t="s">
        <v>258</v>
      </c>
      <c r="B22" t="s">
        <v>410</v>
      </c>
      <c r="C22" t="s">
        <v>866</v>
      </c>
    </row>
    <row r="23" spans="1:16" outlineLevel="1" x14ac:dyDescent="0.45"/>
    <row r="24" spans="1:16" outlineLevel="1" x14ac:dyDescent="0.45"/>
    <row r="25" spans="1:16" outlineLevel="1" x14ac:dyDescent="0.45">
      <c r="B25" s="166" t="s">
        <v>648</v>
      </c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1"/>
    </row>
    <row r="26" spans="1:16" outlineLevel="1" x14ac:dyDescent="0.45">
      <c r="B26" s="62"/>
      <c r="E26" t="s">
        <v>596</v>
      </c>
      <c r="F26" t="s">
        <v>597</v>
      </c>
      <c r="G26" t="s">
        <v>597</v>
      </c>
      <c r="H26" t="s">
        <v>597</v>
      </c>
      <c r="I26" t="s">
        <v>597</v>
      </c>
      <c r="J26" t="s">
        <v>597</v>
      </c>
      <c r="K26" t="s">
        <v>597</v>
      </c>
      <c r="L26" t="s">
        <v>597</v>
      </c>
      <c r="M26" t="s">
        <v>597</v>
      </c>
      <c r="N26" t="s">
        <v>597</v>
      </c>
      <c r="O26" t="s">
        <v>597</v>
      </c>
      <c r="P26" s="64" t="s">
        <v>597</v>
      </c>
    </row>
    <row r="27" spans="1:16" outlineLevel="1" x14ac:dyDescent="0.45">
      <c r="B27" s="167" t="s">
        <v>599</v>
      </c>
      <c r="C27" s="168"/>
      <c r="D27" s="168"/>
      <c r="E27" s="169">
        <f>D28/D29</f>
        <v>2654.5</v>
      </c>
      <c r="F27" s="170"/>
      <c r="G27" s="170">
        <f>G31</f>
        <v>2123.6</v>
      </c>
      <c r="H27" s="170">
        <v>2150.1450000000004</v>
      </c>
      <c r="I27" s="170">
        <v>2389.0500000000002</v>
      </c>
      <c r="J27" s="170">
        <v>2389.0500000000002</v>
      </c>
      <c r="K27" s="170">
        <v>2389.0500000000002</v>
      </c>
      <c r="L27" s="170">
        <v>10618</v>
      </c>
      <c r="M27" s="170">
        <v>10618</v>
      </c>
      <c r="N27" s="170">
        <v>10618</v>
      </c>
      <c r="O27" s="170">
        <v>9795.1049999999959</v>
      </c>
      <c r="P27" s="171">
        <v>0</v>
      </c>
    </row>
    <row r="28" spans="1:16" outlineLevel="1" x14ac:dyDescent="0.45">
      <c r="B28" s="62" t="s">
        <v>0</v>
      </c>
      <c r="C28" t="s">
        <v>591</v>
      </c>
      <c r="D28">
        <v>53090</v>
      </c>
      <c r="P28" s="64"/>
    </row>
    <row r="29" spans="1:16" outlineLevel="1" x14ac:dyDescent="0.45">
      <c r="B29" s="62" t="s">
        <v>600</v>
      </c>
      <c r="C29" t="s">
        <v>594</v>
      </c>
      <c r="D29" s="19">
        <v>20</v>
      </c>
      <c r="E29" s="152" t="s">
        <v>595</v>
      </c>
      <c r="P29" s="64"/>
    </row>
    <row r="30" spans="1:16" outlineLevel="1" x14ac:dyDescent="0.45">
      <c r="B30" s="62" t="s">
        <v>600</v>
      </c>
      <c r="C30" t="s">
        <v>592</v>
      </c>
      <c r="D30">
        <v>1</v>
      </c>
      <c r="E30" t="s">
        <v>598</v>
      </c>
      <c r="G30" s="172">
        <f t="shared" ref="G30:P30" si="0">$E$27*G33</f>
        <v>2654.5</v>
      </c>
      <c r="H30" s="172">
        <f t="shared" si="0"/>
        <v>2389.0500000000002</v>
      </c>
      <c r="I30" s="172">
        <f t="shared" si="0"/>
        <v>2654.5</v>
      </c>
      <c r="J30" s="172">
        <f t="shared" si="0"/>
        <v>2654.5</v>
      </c>
      <c r="K30" s="172">
        <f t="shared" si="0"/>
        <v>2654.5</v>
      </c>
      <c r="L30" s="172">
        <f t="shared" si="0"/>
        <v>2654.5</v>
      </c>
      <c r="M30" s="172">
        <f t="shared" si="0"/>
        <v>2654.5</v>
      </c>
      <c r="N30" s="172">
        <f t="shared" si="0"/>
        <v>2654.5</v>
      </c>
      <c r="O30" s="172">
        <f t="shared" si="0"/>
        <v>2654.5</v>
      </c>
      <c r="P30" s="173">
        <f t="shared" si="0"/>
        <v>2654.5</v>
      </c>
    </row>
    <row r="31" spans="1:16" outlineLevel="1" x14ac:dyDescent="0.45">
      <c r="B31" s="62" t="s">
        <v>600</v>
      </c>
      <c r="C31" t="s">
        <v>593</v>
      </c>
      <c r="D31">
        <v>0.8</v>
      </c>
      <c r="E31" t="s">
        <v>598</v>
      </c>
      <c r="G31" s="172">
        <f t="shared" ref="G31:P31" si="1">G30*G34</f>
        <v>2123.6</v>
      </c>
      <c r="H31" s="172">
        <f>H30*H34</f>
        <v>2150.1450000000004</v>
      </c>
      <c r="I31" s="172">
        <f>I30*I34</f>
        <v>2389.0500000000002</v>
      </c>
      <c r="J31" s="172">
        <f t="shared" si="1"/>
        <v>2389.0500000000002</v>
      </c>
      <c r="K31" s="172">
        <f t="shared" si="1"/>
        <v>2389.0500000000002</v>
      </c>
      <c r="L31" s="172">
        <f t="shared" si="1"/>
        <v>10618</v>
      </c>
      <c r="M31" s="172">
        <f t="shared" si="1"/>
        <v>10618</v>
      </c>
      <c r="N31" s="172">
        <f t="shared" si="1"/>
        <v>10618</v>
      </c>
      <c r="O31" s="172">
        <f t="shared" si="1"/>
        <v>10618</v>
      </c>
      <c r="P31" s="173">
        <f t="shared" si="1"/>
        <v>10618</v>
      </c>
    </row>
    <row r="32" spans="1:16" outlineLevel="1" x14ac:dyDescent="0.45">
      <c r="B32" s="62"/>
      <c r="P32" s="64"/>
    </row>
    <row r="33" spans="1:16" outlineLevel="1" x14ac:dyDescent="0.45">
      <c r="B33" s="62" t="s">
        <v>600</v>
      </c>
      <c r="C33" t="s">
        <v>592</v>
      </c>
      <c r="G33">
        <v>1</v>
      </c>
      <c r="H33">
        <v>0.9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 s="64">
        <v>1</v>
      </c>
    </row>
    <row r="34" spans="1:16" outlineLevel="1" x14ac:dyDescent="0.45">
      <c r="B34" s="62" t="s">
        <v>600</v>
      </c>
      <c r="C34" t="s">
        <v>593</v>
      </c>
      <c r="G34">
        <v>0.8</v>
      </c>
      <c r="H34">
        <v>0.9</v>
      </c>
      <c r="I34">
        <v>0.9</v>
      </c>
      <c r="J34">
        <v>0.9</v>
      </c>
      <c r="K34">
        <v>0.9</v>
      </c>
      <c r="L34">
        <v>4</v>
      </c>
      <c r="M34">
        <v>4</v>
      </c>
      <c r="N34">
        <v>4</v>
      </c>
      <c r="O34">
        <v>4</v>
      </c>
      <c r="P34" s="64">
        <v>4</v>
      </c>
    </row>
    <row r="35" spans="1:16" outlineLevel="1" x14ac:dyDescent="0.45"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8"/>
    </row>
    <row r="36" spans="1:16" outlineLevel="1" x14ac:dyDescent="0.45"/>
    <row r="37" spans="1:16" outlineLevel="1" x14ac:dyDescent="0.45"/>
    <row r="38" spans="1:16" outlineLevel="1" x14ac:dyDescent="0.45"/>
    <row r="39" spans="1:16" outlineLevel="1" x14ac:dyDescent="0.45"/>
    <row r="41" spans="1:16" s="17" customFormat="1" x14ac:dyDescent="0.45">
      <c r="A41" s="13" t="s">
        <v>871</v>
      </c>
    </row>
    <row r="42" spans="1:16" outlineLevel="1" x14ac:dyDescent="0.45">
      <c r="A42" s="33" t="s">
        <v>872</v>
      </c>
    </row>
    <row r="43" spans="1:16" outlineLevel="1" x14ac:dyDescent="0.45">
      <c r="A43" s="33" t="s">
        <v>873</v>
      </c>
    </row>
    <row r="44" spans="1:16" outlineLevel="1" x14ac:dyDescent="0.45"/>
    <row r="45" spans="1:16" outlineLevel="1" x14ac:dyDescent="0.45">
      <c r="B45" s="174" t="s">
        <v>620</v>
      </c>
      <c r="C45" s="174" t="s">
        <v>619</v>
      </c>
      <c r="D45" s="174" t="s">
        <v>43</v>
      </c>
      <c r="E45" s="174" t="s">
        <v>627</v>
      </c>
      <c r="F45" s="174" t="s">
        <v>622</v>
      </c>
      <c r="G45" s="174" t="s">
        <v>628</v>
      </c>
      <c r="H45" s="174" t="s">
        <v>376</v>
      </c>
      <c r="I45" s="174" t="s">
        <v>634</v>
      </c>
    </row>
    <row r="46" spans="1:16" outlineLevel="1" x14ac:dyDescent="0.45">
      <c r="B46" s="157"/>
      <c r="C46" s="190" t="str">
        <f>Показатели!A121</f>
        <v>77-03</v>
      </c>
      <c r="D46" s="12" t="s">
        <v>458</v>
      </c>
      <c r="E46" t="s">
        <v>636</v>
      </c>
      <c r="F46" s="17" t="s">
        <v>642</v>
      </c>
      <c r="G46" s="17" t="s">
        <v>40</v>
      </c>
      <c r="H46" s="17" t="s">
        <v>626</v>
      </c>
      <c r="I46" s="164" t="s">
        <v>637</v>
      </c>
    </row>
    <row r="47" spans="1:16" outlineLevel="1" x14ac:dyDescent="0.45">
      <c r="B47" s="157"/>
      <c r="C47" s="190" t="s">
        <v>646</v>
      </c>
      <c r="D47" s="12" t="s">
        <v>458</v>
      </c>
      <c r="E47" s="54" t="s">
        <v>602</v>
      </c>
      <c r="F47" s="17" t="s">
        <v>643</v>
      </c>
      <c r="G47" s="17" t="s">
        <v>615</v>
      </c>
      <c r="H47" s="17" t="s">
        <v>626</v>
      </c>
      <c r="I47" s="164" t="s">
        <v>644</v>
      </c>
    </row>
    <row r="48" spans="1:16" outlineLevel="1" x14ac:dyDescent="0.45">
      <c r="B48" s="17"/>
      <c r="C48" s="190" t="s">
        <v>647</v>
      </c>
      <c r="D48" s="12" t="s">
        <v>458</v>
      </c>
      <c r="E48" t="s">
        <v>605</v>
      </c>
      <c r="F48" s="17" t="s">
        <v>643</v>
      </c>
      <c r="G48" s="17" t="s">
        <v>615</v>
      </c>
      <c r="H48" s="17" t="s">
        <v>626</v>
      </c>
      <c r="I48" s="164" t="s">
        <v>644</v>
      </c>
    </row>
    <row r="49" spans="1:27" outlineLevel="1" x14ac:dyDescent="0.45">
      <c r="D49" s="17" t="s">
        <v>638</v>
      </c>
      <c r="E49" s="17" t="s">
        <v>624</v>
      </c>
      <c r="F49" s="17" t="s">
        <v>640</v>
      </c>
      <c r="G49" s="17" t="s">
        <v>639</v>
      </c>
      <c r="H49" s="17" t="s">
        <v>641</v>
      </c>
    </row>
    <row r="50" spans="1:27" ht="85.5" outlineLevel="1" x14ac:dyDescent="0.45">
      <c r="C50" s="14" t="s">
        <v>159</v>
      </c>
      <c r="D50" s="12" t="s">
        <v>458</v>
      </c>
      <c r="H50" s="162" t="s">
        <v>649</v>
      </c>
    </row>
    <row r="51" spans="1:27" outlineLevel="1" x14ac:dyDescent="0.45">
      <c r="C51" s="14"/>
      <c r="D51" s="12"/>
    </row>
    <row r="52" spans="1:27" outlineLevel="1" x14ac:dyDescent="0.45">
      <c r="B52" s="166" t="s">
        <v>648</v>
      </c>
      <c r="C52" s="175"/>
      <c r="D52" s="176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1"/>
    </row>
    <row r="53" spans="1:27" outlineLevel="1" x14ac:dyDescent="0.45">
      <c r="B53" s="62"/>
      <c r="P53" s="64"/>
    </row>
    <row r="54" spans="1:27" outlineLevel="1" x14ac:dyDescent="0.45">
      <c r="B54" s="177" t="s">
        <v>604</v>
      </c>
      <c r="C54" s="178"/>
      <c r="D54" s="178"/>
      <c r="E54" s="178"/>
      <c r="F54" s="178"/>
      <c r="G54" s="179">
        <v>577.5</v>
      </c>
      <c r="H54" s="179">
        <v>583.27499999999998</v>
      </c>
      <c r="I54" s="179">
        <v>583.60829999999999</v>
      </c>
      <c r="J54" s="179">
        <v>601.11654899999996</v>
      </c>
      <c r="K54" s="179">
        <v>619.15004547000001</v>
      </c>
      <c r="L54" s="179">
        <v>637.72454683410001</v>
      </c>
      <c r="M54" s="179">
        <v>656.85628323912306</v>
      </c>
      <c r="N54" s="179">
        <v>663.29605072185961</v>
      </c>
      <c r="O54" s="179">
        <v>683.19493224351538</v>
      </c>
      <c r="P54" s="179">
        <v>0</v>
      </c>
    </row>
    <row r="55" spans="1:27" outlineLevel="1" x14ac:dyDescent="0.45">
      <c r="B55" s="62" t="s">
        <v>600</v>
      </c>
      <c r="C55" t="s">
        <v>603</v>
      </c>
      <c r="D55">
        <v>550</v>
      </c>
      <c r="P55" s="64"/>
      <c r="Z55" s="160"/>
      <c r="AA55" s="160"/>
    </row>
    <row r="56" spans="1:27" outlineLevel="1" x14ac:dyDescent="0.45">
      <c r="B56" s="62"/>
      <c r="C56" t="s">
        <v>33</v>
      </c>
      <c r="P56" s="64"/>
    </row>
    <row r="57" spans="1:27" outlineLevel="1" x14ac:dyDescent="0.45">
      <c r="B57" s="62" t="s">
        <v>600</v>
      </c>
      <c r="C57" s="54" t="s">
        <v>601</v>
      </c>
      <c r="D57" s="56">
        <v>0.3</v>
      </c>
      <c r="G57" s="56">
        <v>0.3</v>
      </c>
      <c r="H57" s="56">
        <v>0.3</v>
      </c>
      <c r="I57" s="56">
        <v>0.2</v>
      </c>
      <c r="J57" s="56">
        <v>0.2</v>
      </c>
      <c r="K57" s="56">
        <v>0.2</v>
      </c>
      <c r="L57" s="56">
        <v>0.2</v>
      </c>
      <c r="M57" s="56">
        <v>0.2</v>
      </c>
      <c r="N57" s="56"/>
      <c r="O57" s="56"/>
      <c r="P57" s="180"/>
    </row>
    <row r="58" spans="1:27" outlineLevel="1" x14ac:dyDescent="0.45">
      <c r="B58" s="62" t="s">
        <v>600</v>
      </c>
      <c r="C58" s="54" t="s">
        <v>602</v>
      </c>
      <c r="D58" s="56">
        <v>0.05</v>
      </c>
      <c r="G58" s="56">
        <f>D58</f>
        <v>0.05</v>
      </c>
      <c r="H58" s="56">
        <v>0.05</v>
      </c>
      <c r="I58" s="56">
        <v>0.02</v>
      </c>
      <c r="J58" s="56">
        <v>0.02</v>
      </c>
      <c r="K58" s="56">
        <v>0.02</v>
      </c>
      <c r="L58" s="56">
        <v>0.02</v>
      </c>
      <c r="M58" s="56">
        <v>0.02</v>
      </c>
      <c r="N58" s="56"/>
      <c r="O58" s="56"/>
      <c r="P58" s="180"/>
    </row>
    <row r="59" spans="1:27" outlineLevel="1" x14ac:dyDescent="0.45">
      <c r="B59" s="62"/>
      <c r="P59" s="64"/>
    </row>
    <row r="60" spans="1:27" outlineLevel="1" x14ac:dyDescent="0.45">
      <c r="B60" s="62" t="s">
        <v>600</v>
      </c>
      <c r="C60" s="152" t="s">
        <v>605</v>
      </c>
      <c r="D60" s="152" t="s">
        <v>607</v>
      </c>
      <c r="E60" s="152" t="s">
        <v>606</v>
      </c>
      <c r="G60">
        <v>0</v>
      </c>
      <c r="H60" s="56">
        <v>0.01</v>
      </c>
      <c r="I60" s="56">
        <v>0.03</v>
      </c>
      <c r="J60" s="56">
        <v>0.03</v>
      </c>
      <c r="K60" s="56">
        <v>0.03</v>
      </c>
      <c r="L60" s="56">
        <v>0.03</v>
      </c>
      <c r="M60" s="56">
        <v>0.03</v>
      </c>
      <c r="N60" s="56">
        <v>0.03</v>
      </c>
      <c r="O60" s="56">
        <v>0.03</v>
      </c>
      <c r="P60" s="180">
        <v>0.03</v>
      </c>
    </row>
    <row r="61" spans="1:27" outlineLevel="1" x14ac:dyDescent="0.45">
      <c r="B61" s="66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8"/>
    </row>
    <row r="62" spans="1:27" outlineLevel="1" x14ac:dyDescent="0.45"/>
    <row r="63" spans="1:27" outlineLevel="1" x14ac:dyDescent="0.45"/>
    <row r="64" spans="1:27" outlineLevel="1" x14ac:dyDescent="0.45">
      <c r="A64" t="s">
        <v>408</v>
      </c>
    </row>
    <row r="65" spans="1:9" outlineLevel="1" x14ac:dyDescent="0.45"/>
    <row r="66" spans="1:9" outlineLevel="1" x14ac:dyDescent="0.45"/>
    <row r="68" spans="1:9" x14ac:dyDescent="0.45">
      <c r="A68" s="13" t="s">
        <v>876</v>
      </c>
      <c r="B68" s="17"/>
      <c r="C68" s="17"/>
      <c r="D68" s="17"/>
      <c r="E68" s="17"/>
      <c r="F68" s="17"/>
      <c r="G68" s="17"/>
      <c r="H68" s="17"/>
      <c r="I68" s="17"/>
    </row>
    <row r="69" spans="1:9" outlineLevel="1" x14ac:dyDescent="0.45">
      <c r="B69" s="264" t="s">
        <v>160</v>
      </c>
      <c r="C69" s="264" t="s">
        <v>877</v>
      </c>
    </row>
    <row r="70" spans="1:9" outlineLevel="1" x14ac:dyDescent="0.45">
      <c r="B70" s="2"/>
      <c r="C70" s="17" t="s">
        <v>43</v>
      </c>
    </row>
    <row r="71" spans="1:9" outlineLevel="1" x14ac:dyDescent="0.45">
      <c r="B71" s="2" t="s">
        <v>104</v>
      </c>
      <c r="C71" s="2" t="s">
        <v>882</v>
      </c>
    </row>
    <row r="72" spans="1:9" outlineLevel="1" x14ac:dyDescent="0.45">
      <c r="B72" s="2"/>
      <c r="C72" s="94" t="s">
        <v>132</v>
      </c>
    </row>
    <row r="73" spans="1:9" outlineLevel="1" x14ac:dyDescent="0.45">
      <c r="B73" s="2"/>
      <c r="C73" t="s">
        <v>878</v>
      </c>
    </row>
    <row r="74" spans="1:9" outlineLevel="1" x14ac:dyDescent="0.45">
      <c r="B74" s="2"/>
      <c r="C74" s="94" t="s">
        <v>679</v>
      </c>
    </row>
    <row r="75" spans="1:9" outlineLevel="1" x14ac:dyDescent="0.45">
      <c r="B75" s="2"/>
      <c r="C75" t="s">
        <v>879</v>
      </c>
    </row>
    <row r="76" spans="1:9" outlineLevel="1" x14ac:dyDescent="0.45">
      <c r="B76" s="2" t="s">
        <v>813</v>
      </c>
      <c r="C76" t="s">
        <v>891</v>
      </c>
    </row>
    <row r="77" spans="1:9" outlineLevel="1" x14ac:dyDescent="0.45"/>
    <row r="78" spans="1:9" outlineLevel="1" x14ac:dyDescent="0.45">
      <c r="B78" s="2" t="s">
        <v>623</v>
      </c>
    </row>
    <row r="79" spans="1:9" outlineLevel="1" x14ac:dyDescent="0.45">
      <c r="C79" s="196" t="s">
        <v>158</v>
      </c>
      <c r="D79" s="12" t="s">
        <v>599</v>
      </c>
    </row>
    <row r="80" spans="1:9" outlineLevel="1" x14ac:dyDescent="0.45"/>
    <row r="81" spans="1:4" outlineLevel="1" x14ac:dyDescent="0.45">
      <c r="C81" s="2" t="s">
        <v>257</v>
      </c>
    </row>
    <row r="82" spans="1:4" outlineLevel="1" x14ac:dyDescent="0.45">
      <c r="C82" t="s">
        <v>880</v>
      </c>
      <c r="D82" t="s">
        <v>41</v>
      </c>
    </row>
    <row r="83" spans="1:4" outlineLevel="1" x14ac:dyDescent="0.45">
      <c r="C83" t="s">
        <v>892</v>
      </c>
      <c r="D83" t="s">
        <v>615</v>
      </c>
    </row>
    <row r="84" spans="1:4" outlineLevel="1" x14ac:dyDescent="0.45"/>
    <row r="85" spans="1:4" outlineLevel="1" x14ac:dyDescent="0.45">
      <c r="B85" s="2" t="s">
        <v>258</v>
      </c>
      <c r="C85" s="1" t="str">
        <f>B69</f>
        <v>01-03</v>
      </c>
      <c r="D85" t="s">
        <v>881</v>
      </c>
    </row>
    <row r="86" spans="1:4" outlineLevel="1" x14ac:dyDescent="0.45"/>
    <row r="91" spans="1:4" x14ac:dyDescent="0.45">
      <c r="A91" s="13" t="s">
        <v>884</v>
      </c>
      <c r="D91" t="s">
        <v>538</v>
      </c>
    </row>
    <row r="92" spans="1:4" outlineLevel="1" x14ac:dyDescent="0.45"/>
    <row r="93" spans="1:4" outlineLevel="1" x14ac:dyDescent="0.45">
      <c r="B93" t="s">
        <v>886</v>
      </c>
      <c r="C93" s="90" t="s">
        <v>650</v>
      </c>
      <c r="D93" t="s">
        <v>538</v>
      </c>
    </row>
    <row r="94" spans="1:4" outlineLevel="1" x14ac:dyDescent="0.45">
      <c r="C94" t="s">
        <v>43</v>
      </c>
    </row>
    <row r="95" spans="1:4" outlineLevel="1" x14ac:dyDescent="0.45">
      <c r="B95" t="s">
        <v>104</v>
      </c>
      <c r="C95" t="s">
        <v>887</v>
      </c>
    </row>
    <row r="96" spans="1:4" outlineLevel="1" x14ac:dyDescent="0.45">
      <c r="C96" s="94" t="s">
        <v>132</v>
      </c>
    </row>
    <row r="97" spans="1:21" outlineLevel="1" x14ac:dyDescent="0.45">
      <c r="C97" t="s">
        <v>888</v>
      </c>
    </row>
    <row r="98" spans="1:21" outlineLevel="1" x14ac:dyDescent="0.45">
      <c r="A98" s="94"/>
      <c r="C98" s="94" t="s">
        <v>679</v>
      </c>
    </row>
    <row r="99" spans="1:21" outlineLevel="1" x14ac:dyDescent="0.45">
      <c r="A99" s="94"/>
      <c r="C99" t="s">
        <v>889</v>
      </c>
    </row>
    <row r="100" spans="1:21" outlineLevel="1" x14ac:dyDescent="0.45">
      <c r="A100" s="94"/>
    </row>
    <row r="101" spans="1:21" outlineLevel="1" x14ac:dyDescent="0.45">
      <c r="A101" s="94"/>
      <c r="B101" s="2" t="s">
        <v>623</v>
      </c>
    </row>
    <row r="102" spans="1:21" outlineLevel="1" x14ac:dyDescent="0.45">
      <c r="A102" s="94"/>
      <c r="C102" s="196" t="s">
        <v>158</v>
      </c>
      <c r="D102" s="12" t="s">
        <v>599</v>
      </c>
    </row>
    <row r="103" spans="1:21" outlineLevel="1" x14ac:dyDescent="0.45">
      <c r="A103" s="94"/>
      <c r="C103" s="196" t="s">
        <v>159</v>
      </c>
      <c r="D103" t="s">
        <v>458</v>
      </c>
    </row>
    <row r="104" spans="1:21" outlineLevel="1" x14ac:dyDescent="0.45">
      <c r="A104" s="94"/>
      <c r="C104" s="196"/>
    </row>
    <row r="105" spans="1:21" outlineLevel="1" x14ac:dyDescent="0.45">
      <c r="A105" s="94"/>
      <c r="B105" s="2" t="s">
        <v>258</v>
      </c>
      <c r="C105" s="1" t="s">
        <v>886</v>
      </c>
      <c r="D105" t="s">
        <v>890</v>
      </c>
    </row>
    <row r="106" spans="1:21" outlineLevel="1" x14ac:dyDescent="0.45"/>
    <row r="107" spans="1:21" outlineLevel="1" x14ac:dyDescent="0.45"/>
    <row r="108" spans="1:21" outlineLevel="1" x14ac:dyDescent="0.45">
      <c r="B108" s="153" t="s">
        <v>608</v>
      </c>
      <c r="C108" s="153"/>
      <c r="D108" s="153"/>
      <c r="E108" s="153"/>
      <c r="F108" s="154">
        <f>F27*F54/10^3</f>
        <v>0</v>
      </c>
      <c r="G108" s="154">
        <f>G27*G54</f>
        <v>1226379</v>
      </c>
      <c r="H108" s="154">
        <f>H27*H54</f>
        <v>1254125.8248750002</v>
      </c>
      <c r="I108" s="154">
        <f t="shared" ref="I108:O108" si="2">I27*I54</f>
        <v>1394269.4091150002</v>
      </c>
      <c r="J108" s="154">
        <f t="shared" si="2"/>
        <v>1436097.4913884499</v>
      </c>
      <c r="K108" s="154">
        <f t="shared" si="2"/>
        <v>1479180.4161301036</v>
      </c>
      <c r="L108" s="154">
        <f t="shared" si="2"/>
        <v>6771359.2382844742</v>
      </c>
      <c r="M108" s="154">
        <f t="shared" si="2"/>
        <v>6974500.0154330088</v>
      </c>
      <c r="N108" s="154">
        <f t="shared" si="2"/>
        <v>7042877.4665647056</v>
      </c>
      <c r="O108" s="154">
        <f t="shared" si="2"/>
        <v>6691966.0967931161</v>
      </c>
      <c r="P108" s="154">
        <f>P27*P54/10^3</f>
        <v>0</v>
      </c>
      <c r="Q108" s="182"/>
      <c r="R108" s="182"/>
      <c r="S108" s="183"/>
      <c r="T108" s="183"/>
      <c r="U108" s="183"/>
    </row>
    <row r="109" spans="1:21" outlineLevel="1" x14ac:dyDescent="0.45"/>
    <row r="111" spans="1:21" x14ac:dyDescent="0.45">
      <c r="A111" s="13" t="s">
        <v>651</v>
      </c>
      <c r="O111" s="54"/>
      <c r="P111" s="56"/>
    </row>
    <row r="112" spans="1:21" x14ac:dyDescent="0.45">
      <c r="O112" s="152"/>
      <c r="P112" s="152"/>
      <c r="Q112" s="152"/>
      <c r="T112" s="56"/>
      <c r="U112" s="56"/>
    </row>
    <row r="113" spans="2:16" outlineLevel="1" x14ac:dyDescent="0.45">
      <c r="B113" s="153" t="s">
        <v>620</v>
      </c>
      <c r="C113" s="153" t="s">
        <v>619</v>
      </c>
      <c r="D113" s="153" t="s">
        <v>43</v>
      </c>
      <c r="E113" s="153" t="s">
        <v>627</v>
      </c>
      <c r="F113" s="153" t="s">
        <v>622</v>
      </c>
      <c r="G113" s="153" t="s">
        <v>628</v>
      </c>
      <c r="H113" s="153" t="s">
        <v>376</v>
      </c>
      <c r="I113" s="153" t="s">
        <v>634</v>
      </c>
    </row>
    <row r="114" spans="2:16" outlineLevel="1" x14ac:dyDescent="0.45">
      <c r="C114" s="190" t="s">
        <v>645</v>
      </c>
      <c r="D114" s="12" t="s">
        <v>458</v>
      </c>
      <c r="E114" s="54" t="s">
        <v>601</v>
      </c>
      <c r="F114" s="17" t="s">
        <v>643</v>
      </c>
      <c r="G114" s="17" t="s">
        <v>615</v>
      </c>
      <c r="H114" s="17" t="s">
        <v>626</v>
      </c>
      <c r="I114" s="164" t="s">
        <v>644</v>
      </c>
    </row>
    <row r="115" spans="2:16" outlineLevel="1" x14ac:dyDescent="0.45">
      <c r="C115" s="189" t="s">
        <v>653</v>
      </c>
      <c r="D115" t="s">
        <v>652</v>
      </c>
      <c r="E115" t="s">
        <v>652</v>
      </c>
      <c r="F115" s="17" t="s">
        <v>643</v>
      </c>
      <c r="G115" s="17" t="s">
        <v>615</v>
      </c>
      <c r="H115" s="17" t="s">
        <v>626</v>
      </c>
    </row>
    <row r="116" spans="2:16" outlineLevel="1" x14ac:dyDescent="0.45">
      <c r="C116" s="189" t="s">
        <v>654</v>
      </c>
      <c r="D116" t="s">
        <v>612</v>
      </c>
      <c r="E116" t="s">
        <v>612</v>
      </c>
      <c r="F116" s="17" t="s">
        <v>643</v>
      </c>
      <c r="G116" s="17" t="s">
        <v>615</v>
      </c>
      <c r="H116" s="17" t="s">
        <v>626</v>
      </c>
    </row>
    <row r="117" spans="2:16" ht="85.05" customHeight="1" outlineLevel="1" x14ac:dyDescent="0.45">
      <c r="B117" s="188"/>
      <c r="C117" s="181" t="str">
        <f>Ф1!B17</f>
        <v>01-04</v>
      </c>
      <c r="D117" t="str">
        <f>Ф1!C17</f>
        <v>Продажи выручка</v>
      </c>
      <c r="I117" s="159" t="s">
        <v>666</v>
      </c>
    </row>
    <row r="118" spans="2:16" outlineLevel="1" x14ac:dyDescent="0.45"/>
    <row r="119" spans="2:16" outlineLevel="1" x14ac:dyDescent="0.45">
      <c r="B119" s="166" t="s">
        <v>648</v>
      </c>
      <c r="C119" s="175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1"/>
    </row>
    <row r="120" spans="2:16" outlineLevel="1" x14ac:dyDescent="0.45">
      <c r="B120" s="62"/>
      <c r="P120" s="64"/>
    </row>
    <row r="121" spans="2:16" outlineLevel="1" x14ac:dyDescent="0.45">
      <c r="B121" s="184" t="s">
        <v>609</v>
      </c>
      <c r="C121" s="185"/>
      <c r="D121" s="185"/>
      <c r="E121" s="185"/>
      <c r="F121" s="186">
        <v>0</v>
      </c>
      <c r="G121" s="186">
        <v>1099.1399666666664</v>
      </c>
      <c r="H121" s="186">
        <v>1177.3931003291668</v>
      </c>
      <c r="I121" s="186">
        <v>1412.5315002086668</v>
      </c>
      <c r="J121" s="186">
        <v>1501.7384660274265</v>
      </c>
      <c r="K121" s="186">
        <v>1603.0982058207496</v>
      </c>
      <c r="L121" s="186">
        <v>6702.2082635442466</v>
      </c>
      <c r="M121" s="186">
        <v>7360.22755192974</v>
      </c>
      <c r="N121" s="186">
        <v>8186.4250061480379</v>
      </c>
      <c r="O121" s="186">
        <v>7835.5136363764486</v>
      </c>
      <c r="P121" s="187">
        <v>0</v>
      </c>
    </row>
    <row r="122" spans="2:16" outlineLevel="1" x14ac:dyDescent="0.45">
      <c r="B122" s="62" t="s">
        <v>600</v>
      </c>
      <c r="C122" s="155" t="s">
        <v>610</v>
      </c>
      <c r="D122" s="17" t="s">
        <v>615</v>
      </c>
      <c r="G122" s="56">
        <f t="shared" ref="G122:P122" si="3">G57</f>
        <v>0.3</v>
      </c>
      <c r="H122" s="56">
        <f t="shared" si="3"/>
        <v>0.3</v>
      </c>
      <c r="I122" s="56">
        <f t="shared" si="3"/>
        <v>0.2</v>
      </c>
      <c r="J122" s="56">
        <f t="shared" si="3"/>
        <v>0.2</v>
      </c>
      <c r="K122" s="56">
        <f t="shared" si="3"/>
        <v>0.2</v>
      </c>
      <c r="L122" s="56">
        <f t="shared" si="3"/>
        <v>0.2</v>
      </c>
      <c r="M122" s="56">
        <f t="shared" si="3"/>
        <v>0.2</v>
      </c>
      <c r="N122" s="56">
        <f t="shared" si="3"/>
        <v>0</v>
      </c>
      <c r="O122" s="56">
        <f t="shared" si="3"/>
        <v>0</v>
      </c>
      <c r="P122" s="180">
        <f t="shared" si="3"/>
        <v>0</v>
      </c>
    </row>
    <row r="123" spans="2:16" outlineLevel="1" x14ac:dyDescent="0.45">
      <c r="B123" s="62"/>
      <c r="C123" s="155" t="s">
        <v>611</v>
      </c>
      <c r="G123" s="172">
        <f t="shared" ref="G123:P123" si="4">G27*G122</f>
        <v>637.07999999999993</v>
      </c>
      <c r="H123" s="172">
        <f t="shared" si="4"/>
        <v>645.04350000000011</v>
      </c>
      <c r="I123" s="172">
        <f t="shared" si="4"/>
        <v>477.81000000000006</v>
      </c>
      <c r="J123" s="172">
        <f t="shared" si="4"/>
        <v>477.81000000000006</v>
      </c>
      <c r="K123" s="172">
        <f t="shared" si="4"/>
        <v>477.81000000000006</v>
      </c>
      <c r="L123" s="172">
        <f t="shared" si="4"/>
        <v>2123.6</v>
      </c>
      <c r="M123" s="172">
        <f t="shared" si="4"/>
        <v>2123.6</v>
      </c>
      <c r="N123" s="172">
        <f t="shared" si="4"/>
        <v>0</v>
      </c>
      <c r="O123" s="172">
        <f t="shared" si="4"/>
        <v>0</v>
      </c>
      <c r="P123" s="173">
        <f t="shared" si="4"/>
        <v>0</v>
      </c>
    </row>
    <row r="124" spans="2:16" outlineLevel="1" x14ac:dyDescent="0.45">
      <c r="B124" s="62" t="s">
        <v>600</v>
      </c>
      <c r="C124" s="155" t="s">
        <v>612</v>
      </c>
      <c r="D124" s="17" t="s">
        <v>615</v>
      </c>
      <c r="E124" s="17"/>
      <c r="F124" s="17"/>
      <c r="G124" s="56">
        <v>0.3</v>
      </c>
      <c r="H124" s="56">
        <v>0.3</v>
      </c>
      <c r="I124" s="56">
        <v>0.3</v>
      </c>
      <c r="J124" s="56">
        <v>0.3</v>
      </c>
      <c r="K124" s="56">
        <v>0.3</v>
      </c>
      <c r="L124" s="56">
        <v>0.3</v>
      </c>
      <c r="M124" s="56">
        <v>0.3</v>
      </c>
      <c r="N124" s="56">
        <v>0.3</v>
      </c>
      <c r="O124" s="56">
        <v>0.3</v>
      </c>
      <c r="P124" s="180">
        <v>0.3</v>
      </c>
    </row>
    <row r="125" spans="2:16" outlineLevel="1" x14ac:dyDescent="0.45">
      <c r="B125" s="62"/>
      <c r="C125" s="155" t="s">
        <v>612</v>
      </c>
      <c r="G125" s="172">
        <f>G123*G124</f>
        <v>191.12399999999997</v>
      </c>
      <c r="H125" s="172">
        <f>H123*H124</f>
        <v>193.51305000000002</v>
      </c>
      <c r="I125" s="172">
        <f>I123*I124</f>
        <v>143.34300000000002</v>
      </c>
      <c r="J125" s="172">
        <f t="shared" ref="J125:P125" si="5">J123*J124</f>
        <v>143.34300000000002</v>
      </c>
      <c r="K125" s="172">
        <f t="shared" si="5"/>
        <v>143.34300000000002</v>
      </c>
      <c r="L125" s="172">
        <f t="shared" si="5"/>
        <v>637.07999999999993</v>
      </c>
      <c r="M125" s="172">
        <f t="shared" si="5"/>
        <v>637.07999999999993</v>
      </c>
      <c r="N125" s="172">
        <f t="shared" si="5"/>
        <v>0</v>
      </c>
      <c r="O125" s="172">
        <f t="shared" si="5"/>
        <v>0</v>
      </c>
      <c r="P125" s="173">
        <f t="shared" si="5"/>
        <v>0</v>
      </c>
    </row>
    <row r="126" spans="2:16" outlineLevel="1" x14ac:dyDescent="0.45">
      <c r="B126" s="62"/>
      <c r="C126" s="155" t="s">
        <v>613</v>
      </c>
      <c r="G126" s="172">
        <f>G123-G125</f>
        <v>445.95599999999996</v>
      </c>
      <c r="H126" s="172">
        <f>H123-H125</f>
        <v>451.53045000000009</v>
      </c>
      <c r="I126" s="172">
        <f>I123-I125</f>
        <v>334.46700000000004</v>
      </c>
      <c r="J126" s="172">
        <f t="shared" ref="J126:P126" si="6">J123-J125</f>
        <v>334.46700000000004</v>
      </c>
      <c r="K126" s="172">
        <f t="shared" si="6"/>
        <v>334.46700000000004</v>
      </c>
      <c r="L126" s="172">
        <f t="shared" si="6"/>
        <v>1486.52</v>
      </c>
      <c r="M126" s="172">
        <f>M123-M125</f>
        <v>1486.52</v>
      </c>
      <c r="N126" s="172">
        <f t="shared" si="6"/>
        <v>0</v>
      </c>
      <c r="O126" s="172">
        <f t="shared" si="6"/>
        <v>0</v>
      </c>
      <c r="P126" s="173">
        <f t="shared" si="6"/>
        <v>0</v>
      </c>
    </row>
    <row r="127" spans="2:16" outlineLevel="1" x14ac:dyDescent="0.45">
      <c r="B127" s="62"/>
      <c r="C127" s="155" t="s">
        <v>614</v>
      </c>
      <c r="G127" s="172">
        <v>49.550666666666665</v>
      </c>
      <c r="H127" s="172">
        <v>105.99197291666667</v>
      </c>
      <c r="I127" s="172">
        <v>153.77297291666667</v>
      </c>
      <c r="J127" s="172">
        <v>209.51747291666669</v>
      </c>
      <c r="K127" s="172">
        <v>276.41087291666668</v>
      </c>
      <c r="L127" s="172">
        <v>648.04087291666667</v>
      </c>
      <c r="M127" s="172">
        <v>1143.5475395833332</v>
      </c>
      <c r="N127" s="172">
        <v>1143.5475395833332</v>
      </c>
      <c r="O127" s="172">
        <v>1143.5475395833332</v>
      </c>
      <c r="P127" s="172">
        <v>0</v>
      </c>
    </row>
    <row r="128" spans="2:16" outlineLevel="1" x14ac:dyDescent="0.45">
      <c r="B128" s="62"/>
      <c r="P128" s="64"/>
    </row>
    <row r="129" spans="2:16" outlineLevel="1" x14ac:dyDescent="0.45">
      <c r="B129" s="62" t="s">
        <v>617</v>
      </c>
      <c r="C129" s="156" t="s">
        <v>616</v>
      </c>
      <c r="D129">
        <v>9</v>
      </c>
      <c r="G129">
        <f>D129</f>
        <v>9</v>
      </c>
      <c r="H129">
        <v>8</v>
      </c>
      <c r="I129">
        <v>7</v>
      </c>
      <c r="J129">
        <v>6</v>
      </c>
      <c r="K129">
        <v>5</v>
      </c>
      <c r="L129">
        <v>4</v>
      </c>
      <c r="M129">
        <v>3</v>
      </c>
      <c r="N129">
        <v>2</v>
      </c>
      <c r="O129">
        <v>1</v>
      </c>
      <c r="P129" s="64">
        <v>0</v>
      </c>
    </row>
    <row r="130" spans="2:16" outlineLevel="1" x14ac:dyDescent="0.45">
      <c r="B130" s="66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8"/>
    </row>
    <row r="131" spans="2:16" outlineLevel="1" x14ac:dyDescent="0.45"/>
    <row r="132" spans="2:16" outlineLevel="1" x14ac:dyDescent="0.45"/>
    <row r="133" spans="2:16" outlineLevel="1" x14ac:dyDescent="0.45">
      <c r="C133" s="165" t="s">
        <v>665</v>
      </c>
    </row>
    <row r="134" spans="2:16" outlineLevel="1" x14ac:dyDescent="0.45">
      <c r="C134" s="189" t="s">
        <v>656</v>
      </c>
      <c r="D134" s="155" t="s">
        <v>611</v>
      </c>
      <c r="E134" s="181" t="s">
        <v>655</v>
      </c>
    </row>
    <row r="135" spans="2:16" outlineLevel="1" x14ac:dyDescent="0.45">
      <c r="C135" s="189" t="s">
        <v>657</v>
      </c>
      <c r="D135" s="155" t="s">
        <v>612</v>
      </c>
      <c r="E135" s="181" t="s">
        <v>659</v>
      </c>
    </row>
    <row r="136" spans="2:16" outlineLevel="1" x14ac:dyDescent="0.45">
      <c r="C136" s="189" t="s">
        <v>658</v>
      </c>
      <c r="D136" s="155" t="s">
        <v>613</v>
      </c>
      <c r="E136" s="181" t="s">
        <v>660</v>
      </c>
    </row>
    <row r="137" spans="2:16" outlineLevel="1" x14ac:dyDescent="0.45">
      <c r="C137" s="189" t="s">
        <v>661</v>
      </c>
      <c r="D137" s="156" t="s">
        <v>616</v>
      </c>
      <c r="E137" s="181" t="s">
        <v>663</v>
      </c>
    </row>
    <row r="138" spans="2:16" outlineLevel="1" x14ac:dyDescent="0.45">
      <c r="C138" s="189" t="s">
        <v>662</v>
      </c>
      <c r="D138" s="155" t="s">
        <v>614</v>
      </c>
      <c r="E138" s="181" t="s">
        <v>664</v>
      </c>
    </row>
    <row r="139" spans="2:16" outlineLevel="1" x14ac:dyDescent="0.45"/>
    <row r="142" spans="2:16" outlineLevel="1" x14ac:dyDescent="0.45"/>
  </sheetData>
  <phoneticPr fontId="1" type="noConversion"/>
  <hyperlinks>
    <hyperlink ref="B6" location="Ф0!B26" display="Ф0!B26" xr:uid="{A1BEE85C-0025-124B-BF51-AA75C8601B9B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B3672-4F3F-4F11-91C7-94C1C84EFFAB}">
  <sheetPr>
    <tabColor rgb="FFFFC000"/>
  </sheetPr>
  <dimension ref="A1:L49"/>
  <sheetViews>
    <sheetView zoomScale="70" zoomScaleNormal="70" workbookViewId="0">
      <selection activeCell="C6" sqref="C6"/>
    </sheetView>
  </sheetViews>
  <sheetFormatPr defaultColWidth="8.796875" defaultRowHeight="14.25" outlineLevelRow="1" x14ac:dyDescent="0.45"/>
  <cols>
    <col min="3" max="3" width="9.796875" bestFit="1" customWidth="1"/>
  </cols>
  <sheetData>
    <row r="1" spans="1:12" s="17" customFormat="1" x14ac:dyDescent="0.45">
      <c r="A1" s="13" t="s">
        <v>498</v>
      </c>
    </row>
    <row r="2" spans="1:12" ht="28.5" outlineLevel="1" x14ac:dyDescent="0.45">
      <c r="B2" s="1" t="s">
        <v>158</v>
      </c>
      <c r="C2" s="12" t="s">
        <v>46</v>
      </c>
    </row>
    <row r="3" spans="1:12" outlineLevel="1" x14ac:dyDescent="0.45">
      <c r="B3" t="s">
        <v>105</v>
      </c>
      <c r="C3" t="s">
        <v>411</v>
      </c>
      <c r="E3" s="315" t="s">
        <v>421</v>
      </c>
      <c r="F3" s="316"/>
      <c r="G3" s="316"/>
      <c r="H3" s="316"/>
      <c r="I3" s="316"/>
      <c r="J3" s="316"/>
      <c r="K3" s="317"/>
    </row>
    <row r="4" spans="1:12" outlineLevel="1" x14ac:dyDescent="0.45">
      <c r="E4" s="318"/>
      <c r="F4" s="319"/>
      <c r="G4" s="319"/>
      <c r="H4" s="319"/>
      <c r="I4" s="319"/>
      <c r="J4" s="319"/>
      <c r="K4" s="320"/>
    </row>
    <row r="5" spans="1:12" outlineLevel="1" x14ac:dyDescent="0.45">
      <c r="A5" s="2" t="s">
        <v>420</v>
      </c>
    </row>
    <row r="6" spans="1:12" outlineLevel="1" x14ac:dyDescent="0.45">
      <c r="B6" t="s">
        <v>374</v>
      </c>
      <c r="C6" t="s">
        <v>412</v>
      </c>
    </row>
    <row r="7" spans="1:12" outlineLevel="1" x14ac:dyDescent="0.45">
      <c r="B7" t="s">
        <v>413</v>
      </c>
      <c r="C7" t="s">
        <v>414</v>
      </c>
    </row>
    <row r="8" spans="1:12" outlineLevel="1" x14ac:dyDescent="0.45"/>
    <row r="9" spans="1:12" outlineLevel="1" x14ac:dyDescent="0.45">
      <c r="B9" s="2" t="s">
        <v>257</v>
      </c>
      <c r="C9" t="s">
        <v>415</v>
      </c>
    </row>
    <row r="10" spans="1:12" outlineLevel="1" x14ac:dyDescent="0.45"/>
    <row r="11" spans="1:12" outlineLevel="1" x14ac:dyDescent="0.45"/>
    <row r="12" spans="1:12" outlineLevel="1" x14ac:dyDescent="0.45">
      <c r="A12" s="2" t="s">
        <v>258</v>
      </c>
      <c r="B12" t="s">
        <v>410</v>
      </c>
      <c r="C12" t="s">
        <v>416</v>
      </c>
    </row>
    <row r="13" spans="1:12" outlineLevel="1" x14ac:dyDescent="0.45"/>
    <row r="14" spans="1:12" outlineLevel="1" x14ac:dyDescent="0.45"/>
    <row r="15" spans="1:12" outlineLevel="1" x14ac:dyDescent="0.45"/>
    <row r="16" spans="1:12" outlineLevel="1" x14ac:dyDescent="0.45">
      <c r="B16" s="59"/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outlineLevel="1" x14ac:dyDescent="0.45">
      <c r="B17" s="62"/>
      <c r="C17">
        <v>5000</v>
      </c>
      <c r="E17" t="s">
        <v>417</v>
      </c>
      <c r="F17" s="63">
        <v>45809</v>
      </c>
      <c r="L17" s="64"/>
    </row>
    <row r="18" spans="1:12" outlineLevel="1" x14ac:dyDescent="0.45">
      <c r="B18" s="62"/>
      <c r="C18" s="65">
        <v>45748</v>
      </c>
      <c r="E18">
        <v>30</v>
      </c>
      <c r="F18">
        <v>30</v>
      </c>
      <c r="G18">
        <v>30</v>
      </c>
      <c r="H18" t="s">
        <v>418</v>
      </c>
      <c r="I18" t="s">
        <v>418</v>
      </c>
      <c r="J18" t="s">
        <v>419</v>
      </c>
      <c r="K18">
        <v>12</v>
      </c>
      <c r="L18" s="64"/>
    </row>
    <row r="19" spans="1:12" outlineLevel="1" x14ac:dyDescent="0.45">
      <c r="B19" s="62"/>
      <c r="C19">
        <v>30</v>
      </c>
      <c r="L19" s="64"/>
    </row>
    <row r="20" spans="1:12" outlineLevel="1" x14ac:dyDescent="0.45">
      <c r="B20" s="62"/>
      <c r="L20" s="64"/>
    </row>
    <row r="21" spans="1:12" outlineLevel="1" x14ac:dyDescent="0.45">
      <c r="B21" s="62"/>
      <c r="L21" s="64"/>
    </row>
    <row r="22" spans="1:12" outlineLevel="1" x14ac:dyDescent="0.45">
      <c r="B22" s="62"/>
      <c r="L22" s="64"/>
    </row>
    <row r="23" spans="1:12" outlineLevel="1" x14ac:dyDescent="0.45">
      <c r="B23" s="66"/>
      <c r="C23" s="67"/>
      <c r="D23" s="67"/>
      <c r="E23" s="67"/>
      <c r="F23" s="67"/>
      <c r="G23" s="67"/>
      <c r="H23" s="67"/>
      <c r="I23" s="67"/>
      <c r="J23" s="67"/>
      <c r="K23" s="67"/>
      <c r="L23" s="68"/>
    </row>
    <row r="24" spans="1:12" outlineLevel="1" x14ac:dyDescent="0.45"/>
    <row r="25" spans="1:12" outlineLevel="1" x14ac:dyDescent="0.45"/>
    <row r="26" spans="1:12" outlineLevel="1" x14ac:dyDescent="0.45"/>
    <row r="27" spans="1:12" outlineLevel="1" x14ac:dyDescent="0.45"/>
    <row r="28" spans="1:12" outlineLevel="1" x14ac:dyDescent="0.45"/>
    <row r="29" spans="1:12" outlineLevel="1" x14ac:dyDescent="0.45"/>
    <row r="31" spans="1:12" s="17" customFormat="1" x14ac:dyDescent="0.45">
      <c r="A31" s="13" t="s">
        <v>499</v>
      </c>
    </row>
    <row r="32" spans="1:12" outlineLevel="1" x14ac:dyDescent="0.45">
      <c r="A32" s="33" t="s">
        <v>406</v>
      </c>
    </row>
    <row r="33" spans="1:12" outlineLevel="1" x14ac:dyDescent="0.45">
      <c r="A33" s="33" t="s">
        <v>407</v>
      </c>
    </row>
    <row r="34" spans="1:12" outlineLevel="1" x14ac:dyDescent="0.45"/>
    <row r="35" spans="1:12" outlineLevel="1" x14ac:dyDescent="0.45">
      <c r="C35" t="s">
        <v>41</v>
      </c>
      <c r="E35" t="s">
        <v>396</v>
      </c>
      <c r="G35" t="s">
        <v>397</v>
      </c>
      <c r="K35" t="s">
        <v>398</v>
      </c>
      <c r="L35" t="s">
        <v>399</v>
      </c>
    </row>
    <row r="36" spans="1:12" outlineLevel="1" x14ac:dyDescent="0.45">
      <c r="A36" t="s">
        <v>400</v>
      </c>
      <c r="C36">
        <v>60</v>
      </c>
      <c r="G36" t="e">
        <f ca="1">СУММ(G37:G38)</f>
        <v>#NAME?</v>
      </c>
    </row>
    <row r="37" spans="1:12" outlineLevel="1" x14ac:dyDescent="0.45">
      <c r="B37" t="s">
        <v>401</v>
      </c>
      <c r="C37">
        <v>20</v>
      </c>
      <c r="E37">
        <v>100</v>
      </c>
      <c r="G37">
        <v>2000</v>
      </c>
    </row>
    <row r="38" spans="1:12" outlineLevel="1" x14ac:dyDescent="0.45">
      <c r="B38" t="s">
        <v>402</v>
      </c>
      <c r="C38">
        <v>40</v>
      </c>
      <c r="E38">
        <v>110</v>
      </c>
      <c r="G38">
        <v>4400</v>
      </c>
    </row>
    <row r="39" spans="1:12" outlineLevel="1" x14ac:dyDescent="0.45"/>
    <row r="40" spans="1:12" outlineLevel="1" x14ac:dyDescent="0.45">
      <c r="C40" t="s">
        <v>403</v>
      </c>
      <c r="G40" t="s">
        <v>404</v>
      </c>
      <c r="L40" s="56">
        <v>8.08</v>
      </c>
    </row>
    <row r="41" spans="1:12" outlineLevel="1" x14ac:dyDescent="0.45">
      <c r="C41" s="2">
        <v>66</v>
      </c>
      <c r="G41" s="57" t="e">
        <f ca="1">G38/G36</f>
        <v>#NAME?</v>
      </c>
    </row>
    <row r="42" spans="1:12" outlineLevel="1" x14ac:dyDescent="0.45">
      <c r="C42" s="2" t="s">
        <v>405</v>
      </c>
    </row>
    <row r="43" spans="1:12" outlineLevel="1" x14ac:dyDescent="0.45"/>
    <row r="44" spans="1:12" outlineLevel="1" x14ac:dyDescent="0.45"/>
    <row r="45" spans="1:12" outlineLevel="1" x14ac:dyDescent="0.45"/>
    <row r="46" spans="1:12" outlineLevel="1" x14ac:dyDescent="0.45"/>
    <row r="47" spans="1:12" outlineLevel="1" x14ac:dyDescent="0.45">
      <c r="A47" t="s">
        <v>408</v>
      </c>
    </row>
    <row r="48" spans="1:12" outlineLevel="1" x14ac:dyDescent="0.45"/>
    <row r="49" outlineLevel="1" x14ac:dyDescent="0.45"/>
  </sheetData>
  <mergeCells count="1">
    <mergeCell ref="E3:K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594DF-24DB-4ABE-8708-BF138BE2CFFE}">
  <sheetPr>
    <tabColor rgb="FFFFC000"/>
  </sheetPr>
  <dimension ref="B1:S8"/>
  <sheetViews>
    <sheetView zoomScale="70" zoomScaleNormal="70" workbookViewId="0">
      <selection activeCell="B4" sqref="B4:G4"/>
    </sheetView>
  </sheetViews>
  <sheetFormatPr defaultColWidth="8.796875" defaultRowHeight="14.25" x14ac:dyDescent="0.45"/>
  <cols>
    <col min="1" max="1" width="6.6640625" customWidth="1"/>
    <col min="3" max="3" width="19.796875" customWidth="1"/>
    <col min="7" max="7" width="17.46484375" customWidth="1"/>
    <col min="8" max="8" width="10" customWidth="1"/>
    <col min="9" max="9" width="53.1328125" customWidth="1"/>
    <col min="10" max="10" width="69.33203125" style="4" customWidth="1"/>
  </cols>
  <sheetData>
    <row r="1" spans="2:19" x14ac:dyDescent="0.45">
      <c r="S1" s="4"/>
    </row>
    <row r="2" spans="2:19" x14ac:dyDescent="0.45">
      <c r="S2" s="4"/>
    </row>
    <row r="3" spans="2:19" x14ac:dyDescent="0.45">
      <c r="S3" s="4"/>
    </row>
    <row r="4" spans="2:19" x14ac:dyDescent="0.45">
      <c r="B4" s="336" t="s">
        <v>825</v>
      </c>
      <c r="C4" s="336" t="s">
        <v>44</v>
      </c>
      <c r="D4" s="336" t="s">
        <v>825</v>
      </c>
      <c r="E4" s="336" t="s">
        <v>45</v>
      </c>
      <c r="F4" s="336" t="s">
        <v>835</v>
      </c>
      <c r="G4" s="336" t="s">
        <v>258</v>
      </c>
      <c r="H4" s="13" t="s">
        <v>362</v>
      </c>
      <c r="I4" s="13" t="s">
        <v>678</v>
      </c>
      <c r="J4" s="2" t="s">
        <v>91</v>
      </c>
      <c r="K4" s="2" t="s">
        <v>501</v>
      </c>
      <c r="L4" s="2" t="s">
        <v>934</v>
      </c>
      <c r="M4" s="2" t="s">
        <v>935</v>
      </c>
      <c r="S4" s="4"/>
    </row>
    <row r="5" spans="2:19" s="9" customFormat="1" ht="285" customHeight="1" x14ac:dyDescent="0.45">
      <c r="B5" s="193" t="s">
        <v>469</v>
      </c>
      <c r="C5" s="12" t="s">
        <v>277</v>
      </c>
      <c r="E5" s="18"/>
      <c r="G5" s="12" t="s">
        <v>742</v>
      </c>
      <c r="I5" s="194" t="s">
        <v>735</v>
      </c>
      <c r="J5" s="248" t="s">
        <v>691</v>
      </c>
      <c r="S5" s="195"/>
    </row>
    <row r="6" spans="2:19" s="9" customFormat="1" ht="114" x14ac:dyDescent="0.45">
      <c r="B6" s="193" t="s">
        <v>470</v>
      </c>
      <c r="C6" s="12" t="s">
        <v>278</v>
      </c>
      <c r="D6" s="8"/>
      <c r="E6" s="6"/>
      <c r="G6" s="12" t="s">
        <v>740</v>
      </c>
      <c r="I6" s="194" t="s">
        <v>797</v>
      </c>
      <c r="J6" s="12" t="s">
        <v>736</v>
      </c>
      <c r="S6" s="12"/>
    </row>
    <row r="7" spans="2:19" s="9" customFormat="1" ht="114" x14ac:dyDescent="0.45">
      <c r="B7" s="193" t="s">
        <v>471</v>
      </c>
      <c r="C7" s="12" t="s">
        <v>279</v>
      </c>
      <c r="D7" s="8"/>
      <c r="E7" s="6"/>
      <c r="G7" s="12" t="s">
        <v>741</v>
      </c>
      <c r="I7" s="194" t="s">
        <v>800</v>
      </c>
      <c r="J7" s="12" t="s">
        <v>736</v>
      </c>
      <c r="S7" s="12"/>
    </row>
    <row r="8" spans="2:19" s="9" customFormat="1" ht="156.75" x14ac:dyDescent="0.45">
      <c r="B8" s="193" t="s">
        <v>472</v>
      </c>
      <c r="C8" s="12" t="s">
        <v>280</v>
      </c>
      <c r="D8" s="8"/>
      <c r="E8" s="6"/>
      <c r="G8" s="12" t="s">
        <v>739</v>
      </c>
      <c r="I8" s="194" t="s">
        <v>738</v>
      </c>
      <c r="J8" s="12" t="s">
        <v>736</v>
      </c>
      <c r="S8" s="12"/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8A23-E08A-734F-8FE2-2143C28F6F33}">
  <sheetPr>
    <tabColor rgb="FFFFC000"/>
  </sheetPr>
  <dimension ref="A1:P140"/>
  <sheetViews>
    <sheetView showGridLines="0" topLeftCell="A17" zoomScale="70" zoomScaleNormal="70" workbookViewId="0">
      <selection activeCell="A35" sqref="A35:I51"/>
    </sheetView>
  </sheetViews>
  <sheetFormatPr defaultColWidth="8.796875" defaultRowHeight="14.25" outlineLevelRow="1" x14ac:dyDescent="0.45"/>
  <cols>
    <col min="2" max="2" width="8" customWidth="1"/>
    <col min="3" max="3" width="21.1328125" customWidth="1"/>
    <col min="4" max="4" width="14.46484375" customWidth="1"/>
    <col min="5" max="5" width="11.1328125" bestFit="1" customWidth="1"/>
    <col min="6" max="7" width="11" customWidth="1"/>
    <col min="8" max="8" width="15.46484375" customWidth="1"/>
    <col min="9" max="9" width="11" customWidth="1"/>
    <col min="10" max="10" width="10.1328125" bestFit="1" customWidth="1"/>
    <col min="11" max="11" width="14.46484375" customWidth="1"/>
  </cols>
  <sheetData>
    <row r="1" spans="1:5" s="17" customFormat="1" x14ac:dyDescent="0.45">
      <c r="A1" s="13" t="s">
        <v>671</v>
      </c>
    </row>
    <row r="2" spans="1:5" outlineLevel="1" x14ac:dyDescent="0.45">
      <c r="B2" s="264" t="s">
        <v>796</v>
      </c>
      <c r="C2" s="264" t="str">
        <f>Ф3!C5</f>
        <v>Реклама и маркетинг</v>
      </c>
    </row>
    <row r="3" spans="1:5" outlineLevel="1" x14ac:dyDescent="0.45">
      <c r="B3" s="2"/>
      <c r="C3" s="17" t="s">
        <v>43</v>
      </c>
    </row>
    <row r="4" spans="1:5" ht="14.25" customHeight="1" outlineLevel="1" x14ac:dyDescent="0.45">
      <c r="B4" s="2" t="s">
        <v>104</v>
      </c>
      <c r="C4" s="2" t="s">
        <v>680</v>
      </c>
    </row>
    <row r="5" spans="1:5" ht="14.25" customHeight="1" outlineLevel="1" x14ac:dyDescent="0.45">
      <c r="B5" s="2"/>
      <c r="C5" s="94" t="s">
        <v>132</v>
      </c>
    </row>
    <row r="6" spans="1:5" ht="14.25" customHeight="1" outlineLevel="1" x14ac:dyDescent="0.45">
      <c r="B6" s="2"/>
      <c r="C6" t="s">
        <v>672</v>
      </c>
    </row>
    <row r="7" spans="1:5" ht="14.25" customHeight="1" outlineLevel="1" x14ac:dyDescent="0.45">
      <c r="B7" s="2"/>
      <c r="C7" s="94" t="s">
        <v>679</v>
      </c>
    </row>
    <row r="8" spans="1:5" ht="14.25" customHeight="1" outlineLevel="1" x14ac:dyDescent="0.45">
      <c r="B8" s="2"/>
      <c r="C8" t="s">
        <v>684</v>
      </c>
    </row>
    <row r="9" spans="1:5" outlineLevel="1" x14ac:dyDescent="0.45"/>
    <row r="10" spans="1:5" outlineLevel="1" x14ac:dyDescent="0.45">
      <c r="B10" s="2" t="s">
        <v>623</v>
      </c>
    </row>
    <row r="11" spans="1:5" ht="28.5" outlineLevel="1" x14ac:dyDescent="0.45">
      <c r="C11" s="196" t="s">
        <v>460</v>
      </c>
      <c r="D11" s="12" t="s">
        <v>39</v>
      </c>
    </row>
    <row r="12" spans="1:5" outlineLevel="1" x14ac:dyDescent="0.45">
      <c r="C12" t="s">
        <v>682</v>
      </c>
      <c r="D12" t="s">
        <v>687</v>
      </c>
      <c r="E12" t="s">
        <v>688</v>
      </c>
    </row>
    <row r="13" spans="1:5" outlineLevel="1" x14ac:dyDescent="0.45">
      <c r="C13" t="s">
        <v>683</v>
      </c>
      <c r="D13" t="s">
        <v>681</v>
      </c>
      <c r="E13" t="s">
        <v>688</v>
      </c>
    </row>
    <row r="14" spans="1:5" outlineLevel="1" x14ac:dyDescent="0.45"/>
    <row r="15" spans="1:5" outlineLevel="1" x14ac:dyDescent="0.45">
      <c r="C15" s="2" t="s">
        <v>257</v>
      </c>
    </row>
    <row r="16" spans="1:5" outlineLevel="1" x14ac:dyDescent="0.45">
      <c r="C16" t="s">
        <v>686</v>
      </c>
    </row>
    <row r="17" spans="2:12" outlineLevel="1" x14ac:dyDescent="0.45"/>
    <row r="18" spans="2:12" outlineLevel="1" x14ac:dyDescent="0.45">
      <c r="B18" s="2" t="s">
        <v>258</v>
      </c>
      <c r="C18" t="str">
        <f>B2</f>
        <v>=Ф3!B5</v>
      </c>
      <c r="D18" t="s">
        <v>667</v>
      </c>
    </row>
    <row r="19" spans="2:12" outlineLevel="1" x14ac:dyDescent="0.45"/>
    <row r="20" spans="2:12" outlineLevel="1" x14ac:dyDescent="0.45"/>
    <row r="21" spans="2:12" outlineLevel="1" x14ac:dyDescent="0.45"/>
    <row r="22" spans="2:12" outlineLevel="1" x14ac:dyDescent="0.45">
      <c r="B22" s="200" t="s">
        <v>254</v>
      </c>
      <c r="C22" s="201" t="s">
        <v>689</v>
      </c>
      <c r="D22" s="201"/>
      <c r="E22" s="201"/>
      <c r="F22" s="201"/>
      <c r="G22" s="201"/>
      <c r="H22" s="200" t="s">
        <v>670</v>
      </c>
      <c r="I22" s="202"/>
      <c r="J22" s="202">
        <v>120000</v>
      </c>
      <c r="K22" s="201"/>
      <c r="L22" s="203"/>
    </row>
    <row r="23" spans="2:12" outlineLevel="1" x14ac:dyDescent="0.45">
      <c r="B23" s="204" t="s">
        <v>255</v>
      </c>
      <c r="C23" s="182" t="s">
        <v>690</v>
      </c>
      <c r="D23" s="182"/>
      <c r="E23" s="182"/>
      <c r="F23" s="182"/>
      <c r="G23" s="182"/>
      <c r="H23" s="204" t="s">
        <v>615</v>
      </c>
      <c r="I23" s="205"/>
      <c r="J23" s="205">
        <v>2.5000000000000001E-2</v>
      </c>
      <c r="K23" s="249">
        <f>J22*J23</f>
        <v>3000</v>
      </c>
      <c r="L23" s="206"/>
    </row>
    <row r="24" spans="2:12" outlineLevel="1" x14ac:dyDescent="0.45">
      <c r="B24" s="204"/>
      <c r="C24" s="182"/>
      <c r="D24" s="182"/>
      <c r="E24" s="182"/>
      <c r="F24" s="182"/>
      <c r="G24" s="182"/>
      <c r="H24" s="204" t="s">
        <v>668</v>
      </c>
      <c r="I24" s="207"/>
      <c r="J24" s="207">
        <v>45809</v>
      </c>
      <c r="K24" s="182"/>
      <c r="L24" s="206"/>
    </row>
    <row r="25" spans="2:12" outlineLevel="1" x14ac:dyDescent="0.45">
      <c r="B25" s="204"/>
      <c r="C25" s="182"/>
      <c r="D25" s="182"/>
      <c r="E25" s="182"/>
      <c r="F25" s="182"/>
      <c r="G25" s="182"/>
      <c r="H25" s="204" t="s">
        <v>669</v>
      </c>
      <c r="I25" s="207"/>
      <c r="J25" s="207">
        <v>45931</v>
      </c>
      <c r="K25" s="182"/>
      <c r="L25" s="206"/>
    </row>
    <row r="26" spans="2:12" outlineLevel="1" x14ac:dyDescent="0.45">
      <c r="B26" s="204"/>
      <c r="C26" s="182"/>
      <c r="D26" s="182"/>
      <c r="E26" s="182"/>
      <c r="F26" s="182"/>
      <c r="G26" s="182"/>
      <c r="H26" s="204" t="s">
        <v>685</v>
      </c>
      <c r="I26" s="207"/>
      <c r="J26" s="207"/>
      <c r="K26" s="182"/>
      <c r="L26" s="206"/>
    </row>
    <row r="27" spans="2:12" outlineLevel="1" x14ac:dyDescent="0.45">
      <c r="B27" s="204"/>
      <c r="C27" s="207"/>
      <c r="D27" s="182"/>
      <c r="E27" s="182"/>
      <c r="F27" s="182"/>
      <c r="G27" s="182"/>
      <c r="H27" s="182"/>
      <c r="I27" s="182"/>
      <c r="J27" s="182"/>
      <c r="K27" s="182"/>
      <c r="L27" s="206"/>
    </row>
    <row r="28" spans="2:12" outlineLevel="1" x14ac:dyDescent="0.45">
      <c r="B28" s="204"/>
      <c r="C28" s="182"/>
      <c r="D28" s="208" t="s">
        <v>258</v>
      </c>
      <c r="E28" s="209">
        <v>45778</v>
      </c>
      <c r="F28" s="209">
        <v>45809</v>
      </c>
      <c r="G28" s="209">
        <v>45839</v>
      </c>
      <c r="H28" s="209">
        <v>45870</v>
      </c>
      <c r="I28" s="209">
        <v>45901</v>
      </c>
      <c r="J28" s="209">
        <v>45931</v>
      </c>
      <c r="K28" s="209">
        <v>45962</v>
      </c>
      <c r="L28" s="210">
        <v>45992</v>
      </c>
    </row>
    <row r="29" spans="2:12" outlineLevel="1" x14ac:dyDescent="0.45">
      <c r="B29" s="211" t="s">
        <v>469</v>
      </c>
      <c r="C29" s="182" t="s">
        <v>277</v>
      </c>
      <c r="D29" s="212" t="e">
        <f ca="1">СУММ(E29:L29)</f>
        <v>#NAME?</v>
      </c>
      <c r="E29" s="212">
        <v>0</v>
      </c>
      <c r="F29" s="212">
        <v>737.70491803278696</v>
      </c>
      <c r="G29" s="212">
        <v>737.70491803278696</v>
      </c>
      <c r="H29" s="212">
        <v>737.70491803278696</v>
      </c>
      <c r="I29" s="212">
        <v>737.70491803278696</v>
      </c>
      <c r="J29" s="212">
        <v>0</v>
      </c>
      <c r="K29" s="212">
        <v>0</v>
      </c>
      <c r="L29" s="213">
        <v>0</v>
      </c>
    </row>
    <row r="30" spans="2:12" outlineLevel="1" x14ac:dyDescent="0.45">
      <c r="B30" s="204"/>
      <c r="C30" s="182"/>
      <c r="D30" s="182"/>
      <c r="E30" s="182"/>
      <c r="F30" s="182"/>
      <c r="G30" s="182"/>
      <c r="H30" s="182"/>
      <c r="I30" s="182"/>
      <c r="J30" s="182"/>
      <c r="K30" s="182"/>
      <c r="L30" s="206"/>
    </row>
    <row r="31" spans="2:12" outlineLevel="1" x14ac:dyDescent="0.4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</row>
    <row r="32" spans="2:12" outlineLevel="1" x14ac:dyDescent="0.45"/>
    <row r="35" spans="1:16" x14ac:dyDescent="0.45">
      <c r="A35" s="13" t="s">
        <v>802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16" outlineLevel="1" x14ac:dyDescent="0.45">
      <c r="B36" s="264" t="str">
        <f>Ф3!B6</f>
        <v>03-02</v>
      </c>
      <c r="C36" s="264" t="str">
        <f>Ф3!C6</f>
        <v>Брокеридж</v>
      </c>
    </row>
    <row r="37" spans="1:16" outlineLevel="1" x14ac:dyDescent="0.45">
      <c r="B37" s="2"/>
      <c r="C37" s="17" t="s">
        <v>43</v>
      </c>
    </row>
    <row r="38" spans="1:16" outlineLevel="1" x14ac:dyDescent="0.45">
      <c r="B38" s="2" t="s">
        <v>104</v>
      </c>
      <c r="C38" s="2" t="s">
        <v>803</v>
      </c>
    </row>
    <row r="39" spans="1:16" outlineLevel="1" x14ac:dyDescent="0.45">
      <c r="B39" s="2"/>
      <c r="C39" s="94" t="s">
        <v>132</v>
      </c>
    </row>
    <row r="40" spans="1:16" outlineLevel="1" x14ac:dyDescent="0.45">
      <c r="B40" s="2"/>
      <c r="C40" t="s">
        <v>798</v>
      </c>
    </row>
    <row r="41" spans="1:16" outlineLevel="1" x14ac:dyDescent="0.45">
      <c r="B41" s="2"/>
      <c r="C41" s="94" t="s">
        <v>679</v>
      </c>
    </row>
    <row r="42" spans="1:16" outlineLevel="1" x14ac:dyDescent="0.45">
      <c r="B42" s="2"/>
      <c r="C42" t="s">
        <v>799</v>
      </c>
    </row>
    <row r="43" spans="1:16" outlineLevel="1" x14ac:dyDescent="0.45"/>
    <row r="44" spans="1:16" outlineLevel="1" x14ac:dyDescent="0.45">
      <c r="B44" s="2" t="s">
        <v>623</v>
      </c>
    </row>
    <row r="45" spans="1:16" ht="28.5" outlineLevel="1" x14ac:dyDescent="0.45">
      <c r="C45" s="196" t="s">
        <v>460</v>
      </c>
      <c r="D45" s="12" t="s">
        <v>39</v>
      </c>
    </row>
    <row r="46" spans="1:16" outlineLevel="1" x14ac:dyDescent="0.45"/>
    <row r="47" spans="1:16" outlineLevel="1" x14ac:dyDescent="0.45">
      <c r="C47" s="2" t="s">
        <v>257</v>
      </c>
    </row>
    <row r="48" spans="1:16" outlineLevel="1" x14ac:dyDescent="0.45">
      <c r="C48" t="s">
        <v>686</v>
      </c>
    </row>
    <row r="49" spans="2:14" outlineLevel="1" x14ac:dyDescent="0.45"/>
    <row r="50" spans="2:14" outlineLevel="1" x14ac:dyDescent="0.45">
      <c r="B50" s="2" t="s">
        <v>258</v>
      </c>
      <c r="C50" s="1" t="str">
        <f>B36</f>
        <v>03-02</v>
      </c>
      <c r="D50" t="s">
        <v>801</v>
      </c>
    </row>
    <row r="51" spans="2:14" outlineLevel="1" x14ac:dyDescent="0.45"/>
    <row r="52" spans="2:14" outlineLevel="1" x14ac:dyDescent="0.45"/>
    <row r="53" spans="2:14" outlineLevel="1" x14ac:dyDescent="0.45"/>
    <row r="54" spans="2:14" outlineLevel="1" x14ac:dyDescent="0.45">
      <c r="B54" s="200" t="s">
        <v>254</v>
      </c>
      <c r="C54" s="201" t="s">
        <v>689</v>
      </c>
      <c r="D54" s="201"/>
      <c r="E54" s="201"/>
      <c r="F54" s="201"/>
      <c r="G54" s="201"/>
      <c r="H54" s="200" t="s">
        <v>670</v>
      </c>
      <c r="I54" s="202"/>
      <c r="J54" s="202">
        <v>120000</v>
      </c>
      <c r="K54" s="201"/>
      <c r="L54" s="203"/>
    </row>
    <row r="55" spans="2:14" outlineLevel="1" x14ac:dyDescent="0.45">
      <c r="B55" s="204" t="s">
        <v>255</v>
      </c>
      <c r="C55" s="182" t="s">
        <v>690</v>
      </c>
      <c r="D55" s="182"/>
      <c r="E55" s="182"/>
      <c r="F55" s="182"/>
      <c r="G55" s="182"/>
      <c r="H55" s="204" t="s">
        <v>615</v>
      </c>
      <c r="I55" s="205"/>
      <c r="J55" s="205">
        <v>0.02</v>
      </c>
      <c r="K55" s="249"/>
      <c r="L55" s="206"/>
    </row>
    <row r="56" spans="2:14" outlineLevel="1" x14ac:dyDescent="0.45">
      <c r="B56" s="204"/>
      <c r="C56" s="182"/>
      <c r="D56" s="182"/>
      <c r="E56" s="182"/>
      <c r="F56" s="182"/>
      <c r="G56" s="182"/>
      <c r="H56" s="204" t="s">
        <v>685</v>
      </c>
      <c r="I56" s="207"/>
      <c r="J56" s="182">
        <v>1</v>
      </c>
      <c r="K56" s="182"/>
      <c r="L56" s="206"/>
      <c r="N56" s="63"/>
    </row>
    <row r="57" spans="2:14" outlineLevel="1" x14ac:dyDescent="0.45">
      <c r="B57" s="204"/>
      <c r="C57" s="182"/>
      <c r="D57" s="182"/>
      <c r="E57" s="182"/>
      <c r="F57" s="182"/>
      <c r="G57" s="182"/>
      <c r="H57" s="204"/>
      <c r="I57" s="207"/>
      <c r="J57" s="207"/>
      <c r="K57" s="182"/>
      <c r="L57" s="206"/>
    </row>
    <row r="58" spans="2:14" outlineLevel="1" x14ac:dyDescent="0.45">
      <c r="B58" s="204"/>
      <c r="C58" s="182"/>
      <c r="D58" s="182"/>
      <c r="E58" s="182"/>
      <c r="F58" s="182"/>
      <c r="G58" s="182"/>
      <c r="H58" s="204"/>
      <c r="I58" s="207"/>
      <c r="J58" s="182"/>
      <c r="K58" s="182"/>
      <c r="L58" s="206"/>
    </row>
    <row r="59" spans="2:14" outlineLevel="1" x14ac:dyDescent="0.45">
      <c r="B59" s="204"/>
      <c r="C59" s="207"/>
      <c r="D59" s="182"/>
      <c r="E59" s="182"/>
      <c r="F59" s="182"/>
      <c r="G59" s="182"/>
      <c r="H59" s="182"/>
      <c r="I59" s="182"/>
      <c r="J59" s="182"/>
      <c r="K59" s="182"/>
      <c r="L59" s="206"/>
    </row>
    <row r="60" spans="2:14" outlineLevel="1" x14ac:dyDescent="0.45">
      <c r="B60" s="204"/>
      <c r="C60" s="182"/>
      <c r="D60" s="208" t="s">
        <v>258</v>
      </c>
      <c r="E60" s="209">
        <v>45778</v>
      </c>
      <c r="F60" s="209">
        <v>45809</v>
      </c>
      <c r="G60" s="209">
        <v>45839</v>
      </c>
      <c r="H60" s="209">
        <v>45870</v>
      </c>
      <c r="I60" s="209">
        <v>45901</v>
      </c>
      <c r="J60" s="209">
        <v>45931</v>
      </c>
      <c r="K60" s="209">
        <v>45962</v>
      </c>
      <c r="L60" s="210">
        <v>45992</v>
      </c>
    </row>
    <row r="61" spans="2:14" outlineLevel="1" x14ac:dyDescent="0.45">
      <c r="B61" s="204"/>
      <c r="C61" s="182"/>
      <c r="D61" s="208"/>
      <c r="E61" s="209"/>
      <c r="F61" s="209"/>
      <c r="G61" s="209"/>
      <c r="H61" s="209"/>
      <c r="I61" s="209"/>
      <c r="J61" s="209"/>
      <c r="K61" s="209"/>
      <c r="L61" s="210"/>
    </row>
    <row r="62" spans="2:14" outlineLevel="1" x14ac:dyDescent="0.45">
      <c r="B62" s="266" t="str">
        <f>C45</f>
        <v>01-04</v>
      </c>
      <c r="C62" s="182" t="s">
        <v>39</v>
      </c>
      <c r="D62" s="208"/>
      <c r="E62" s="212">
        <v>0</v>
      </c>
      <c r="F62" s="212">
        <v>30000</v>
      </c>
      <c r="G62" s="212">
        <v>40000</v>
      </c>
      <c r="H62" s="212">
        <v>30000</v>
      </c>
      <c r="I62" s="212">
        <v>20000</v>
      </c>
      <c r="J62" s="212">
        <v>0</v>
      </c>
      <c r="K62" s="212">
        <v>0</v>
      </c>
      <c r="L62" s="213">
        <v>0</v>
      </c>
    </row>
    <row r="63" spans="2:14" outlineLevel="1" x14ac:dyDescent="0.45">
      <c r="B63" s="204"/>
      <c r="C63" s="182"/>
      <c r="D63" s="208"/>
      <c r="E63" s="209"/>
      <c r="F63" s="209"/>
      <c r="G63" s="209"/>
      <c r="H63" s="209"/>
      <c r="I63" s="209"/>
      <c r="J63" s="209"/>
      <c r="K63" s="209"/>
      <c r="L63" s="210"/>
    </row>
    <row r="64" spans="2:14" outlineLevel="1" x14ac:dyDescent="0.45">
      <c r="B64" s="265" t="str">
        <f>B36</f>
        <v>03-02</v>
      </c>
      <c r="C64" s="182" t="s">
        <v>278</v>
      </c>
      <c r="D64" s="212" t="e">
        <f ca="1">СУММ(E64:L64)</f>
        <v>#NAME?</v>
      </c>
      <c r="E64" s="212">
        <v>0</v>
      </c>
      <c r="F64" s="212">
        <v>0</v>
      </c>
      <c r="G64" s="212">
        <v>600</v>
      </c>
      <c r="H64" s="212">
        <v>800</v>
      </c>
      <c r="I64" s="212">
        <v>600</v>
      </c>
      <c r="J64" s="212">
        <v>400</v>
      </c>
      <c r="K64" s="212">
        <v>0</v>
      </c>
      <c r="L64" s="213">
        <v>0</v>
      </c>
    </row>
    <row r="65" spans="1:13" outlineLevel="1" x14ac:dyDescent="0.45">
      <c r="B65" s="204"/>
      <c r="C65" s="182"/>
      <c r="D65" s="182"/>
      <c r="E65" s="182"/>
      <c r="F65" s="182"/>
      <c r="G65" s="182"/>
      <c r="H65" s="182"/>
      <c r="I65" s="182"/>
      <c r="J65" s="182"/>
      <c r="K65" s="182"/>
      <c r="L65" s="206"/>
    </row>
    <row r="66" spans="1:13" outlineLevel="1" x14ac:dyDescent="0.45">
      <c r="B66" s="214"/>
      <c r="C66" s="215"/>
      <c r="D66" s="215"/>
      <c r="E66" s="215"/>
      <c r="F66" s="215"/>
      <c r="G66" s="215"/>
      <c r="H66" s="215"/>
      <c r="I66" s="215"/>
      <c r="J66" s="215"/>
      <c r="K66" s="215"/>
      <c r="L66" s="216"/>
    </row>
    <row r="67" spans="1:13" outlineLevel="1" x14ac:dyDescent="0.45"/>
    <row r="70" spans="1:13" x14ac:dyDescent="0.45">
      <c r="A70" s="13" t="s">
        <v>806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outlineLevel="1" x14ac:dyDescent="0.45">
      <c r="B71" s="264" t="s">
        <v>471</v>
      </c>
      <c r="C71" s="2" t="s">
        <v>279</v>
      </c>
    </row>
    <row r="72" spans="1:13" outlineLevel="1" x14ac:dyDescent="0.45">
      <c r="B72" s="2"/>
      <c r="C72" s="17" t="s">
        <v>43</v>
      </c>
    </row>
    <row r="73" spans="1:13" outlineLevel="1" x14ac:dyDescent="0.45">
      <c r="B73" s="2" t="s">
        <v>104</v>
      </c>
      <c r="C73" s="2" t="s">
        <v>803</v>
      </c>
    </row>
    <row r="74" spans="1:13" outlineLevel="1" x14ac:dyDescent="0.45">
      <c r="B74" s="2"/>
      <c r="C74" s="94" t="s">
        <v>132</v>
      </c>
    </row>
    <row r="75" spans="1:13" outlineLevel="1" x14ac:dyDescent="0.45">
      <c r="B75" s="2"/>
      <c r="C75" t="s">
        <v>804</v>
      </c>
    </row>
    <row r="76" spans="1:13" outlineLevel="1" x14ac:dyDescent="0.45">
      <c r="B76" s="2"/>
      <c r="C76" s="94" t="s">
        <v>679</v>
      </c>
    </row>
    <row r="77" spans="1:13" outlineLevel="1" x14ac:dyDescent="0.45">
      <c r="B77" s="2"/>
      <c r="C77" t="s">
        <v>805</v>
      </c>
    </row>
    <row r="78" spans="1:13" outlineLevel="1" x14ac:dyDescent="0.45"/>
    <row r="79" spans="1:13" outlineLevel="1" x14ac:dyDescent="0.45">
      <c r="B79" s="2" t="s">
        <v>623</v>
      </c>
    </row>
    <row r="80" spans="1:13" ht="28.5" outlineLevel="1" x14ac:dyDescent="0.45">
      <c r="C80" s="196" t="s">
        <v>460</v>
      </c>
      <c r="D80" s="12" t="s">
        <v>39</v>
      </c>
    </row>
    <row r="81" spans="2:12" outlineLevel="1" x14ac:dyDescent="0.45"/>
    <row r="82" spans="2:12" outlineLevel="1" x14ac:dyDescent="0.45">
      <c r="C82" s="2" t="s">
        <v>257</v>
      </c>
    </row>
    <row r="83" spans="2:12" outlineLevel="1" x14ac:dyDescent="0.45">
      <c r="C83" t="s">
        <v>686</v>
      </c>
    </row>
    <row r="84" spans="2:12" outlineLevel="1" x14ac:dyDescent="0.45"/>
    <row r="85" spans="2:12" outlineLevel="1" x14ac:dyDescent="0.45">
      <c r="B85" s="2" t="s">
        <v>258</v>
      </c>
      <c r="C85" s="1" t="str">
        <f>B71</f>
        <v>03-03</v>
      </c>
      <c r="D85" t="s">
        <v>811</v>
      </c>
    </row>
    <row r="86" spans="2:12" outlineLevel="1" x14ac:dyDescent="0.45"/>
    <row r="87" spans="2:12" outlineLevel="1" x14ac:dyDescent="0.45"/>
    <row r="88" spans="2:12" outlineLevel="1" x14ac:dyDescent="0.45"/>
    <row r="89" spans="2:12" outlineLevel="1" x14ac:dyDescent="0.45">
      <c r="B89" s="200" t="s">
        <v>254</v>
      </c>
      <c r="C89" s="201" t="s">
        <v>689</v>
      </c>
      <c r="D89" s="201"/>
      <c r="E89" s="201"/>
      <c r="F89" s="201"/>
      <c r="G89" s="201"/>
      <c r="H89" s="200" t="s">
        <v>670</v>
      </c>
      <c r="I89" s="202"/>
      <c r="J89" s="202">
        <v>120000</v>
      </c>
      <c r="K89" s="201"/>
      <c r="L89" s="203"/>
    </row>
    <row r="90" spans="2:12" outlineLevel="1" x14ac:dyDescent="0.45">
      <c r="B90" s="204" t="s">
        <v>255</v>
      </c>
      <c r="C90" s="182" t="s">
        <v>690</v>
      </c>
      <c r="D90" s="182"/>
      <c r="E90" s="182"/>
      <c r="F90" s="182"/>
      <c r="G90" s="182"/>
      <c r="H90" s="204" t="s">
        <v>615</v>
      </c>
      <c r="I90" s="205"/>
      <c r="J90" s="205">
        <v>1.2E-2</v>
      </c>
      <c r="K90" s="249"/>
      <c r="L90" s="206"/>
    </row>
    <row r="91" spans="2:12" outlineLevel="1" x14ac:dyDescent="0.45">
      <c r="B91" s="204"/>
      <c r="C91" s="182"/>
      <c r="D91" s="182"/>
      <c r="E91" s="182"/>
      <c r="F91" s="182"/>
      <c r="G91" s="182"/>
      <c r="H91" s="204" t="s">
        <v>685</v>
      </c>
      <c r="I91" s="207"/>
      <c r="J91" s="182">
        <v>2</v>
      </c>
      <c r="K91" s="182"/>
      <c r="L91" s="206"/>
    </row>
    <row r="92" spans="2:12" outlineLevel="1" x14ac:dyDescent="0.45">
      <c r="B92" s="204"/>
      <c r="C92" s="182"/>
      <c r="D92" s="182"/>
      <c r="E92" s="182"/>
      <c r="F92" s="182"/>
      <c r="G92" s="182"/>
      <c r="H92" s="204"/>
      <c r="I92" s="207"/>
      <c r="J92" s="207"/>
      <c r="K92" s="182"/>
      <c r="L92" s="206"/>
    </row>
    <row r="93" spans="2:12" outlineLevel="1" x14ac:dyDescent="0.45">
      <c r="B93" s="204"/>
      <c r="C93" s="182"/>
      <c r="D93" s="182"/>
      <c r="E93" s="182"/>
      <c r="F93" s="182"/>
      <c r="G93" s="182"/>
      <c r="H93" s="204"/>
      <c r="I93" s="207"/>
      <c r="J93" s="182"/>
      <c r="K93" s="182"/>
      <c r="L93" s="206"/>
    </row>
    <row r="94" spans="2:12" outlineLevel="1" x14ac:dyDescent="0.45">
      <c r="B94" s="204"/>
      <c r="C94" s="207"/>
      <c r="D94" s="182"/>
      <c r="E94" s="182"/>
      <c r="F94" s="182"/>
      <c r="G94" s="182"/>
      <c r="H94" s="182"/>
      <c r="I94" s="182"/>
      <c r="J94" s="182"/>
      <c r="K94" s="182"/>
      <c r="L94" s="206"/>
    </row>
    <row r="95" spans="2:12" outlineLevel="1" x14ac:dyDescent="0.45">
      <c r="B95" s="204"/>
      <c r="C95" s="182"/>
      <c r="D95" s="208" t="s">
        <v>258</v>
      </c>
      <c r="E95" s="209">
        <v>45778</v>
      </c>
      <c r="F95" s="209">
        <v>45809</v>
      </c>
      <c r="G95" s="209">
        <v>45839</v>
      </c>
      <c r="H95" s="209">
        <v>45870</v>
      </c>
      <c r="I95" s="209">
        <v>45901</v>
      </c>
      <c r="J95" s="209">
        <v>45931</v>
      </c>
      <c r="K95" s="209">
        <v>45962</v>
      </c>
      <c r="L95" s="210">
        <v>45992</v>
      </c>
    </row>
    <row r="96" spans="2:12" outlineLevel="1" x14ac:dyDescent="0.45">
      <c r="B96" s="204"/>
      <c r="C96" s="182"/>
      <c r="D96" s="208"/>
      <c r="E96" s="209"/>
      <c r="F96" s="209"/>
      <c r="G96" s="209"/>
      <c r="H96" s="209"/>
      <c r="I96" s="209"/>
      <c r="J96" s="209"/>
      <c r="K96" s="209"/>
      <c r="L96" s="210"/>
    </row>
    <row r="97" spans="1:13" outlineLevel="1" x14ac:dyDescent="0.45">
      <c r="B97" s="266" t="str">
        <f>C80</f>
        <v>01-04</v>
      </c>
      <c r="C97" s="182" t="s">
        <v>39</v>
      </c>
      <c r="D97" s="208"/>
      <c r="E97" s="212">
        <v>0</v>
      </c>
      <c r="F97" s="212">
        <v>30000</v>
      </c>
      <c r="G97" s="212">
        <v>40000</v>
      </c>
      <c r="H97" s="212">
        <v>30000</v>
      </c>
      <c r="I97" s="212">
        <v>20000</v>
      </c>
      <c r="J97" s="212">
        <v>0</v>
      </c>
      <c r="K97" s="212">
        <v>0</v>
      </c>
      <c r="L97" s="213">
        <v>0</v>
      </c>
    </row>
    <row r="98" spans="1:13" outlineLevel="1" x14ac:dyDescent="0.45">
      <c r="B98" s="204"/>
      <c r="C98" s="182"/>
      <c r="D98" s="208"/>
      <c r="E98" s="209"/>
      <c r="F98" s="209"/>
      <c r="G98" s="209"/>
      <c r="H98" s="209"/>
      <c r="I98" s="209"/>
      <c r="J98" s="209"/>
      <c r="K98" s="209"/>
      <c r="L98" s="210"/>
    </row>
    <row r="99" spans="1:13" outlineLevel="1" x14ac:dyDescent="0.45">
      <c r="B99" s="265" t="str">
        <f>B71</f>
        <v>03-03</v>
      </c>
      <c r="C99" s="182" t="s">
        <v>279</v>
      </c>
      <c r="D99" s="212" t="e">
        <f ca="1">СУММ(E99:L99)</f>
        <v>#NAME?</v>
      </c>
      <c r="E99" s="212">
        <v>0</v>
      </c>
      <c r="F99" s="212">
        <v>0</v>
      </c>
      <c r="G99" s="212">
        <v>0</v>
      </c>
      <c r="H99" s="212">
        <v>360</v>
      </c>
      <c r="I99" s="212">
        <v>480</v>
      </c>
      <c r="J99" s="212">
        <v>360</v>
      </c>
      <c r="K99" s="212">
        <v>240</v>
      </c>
      <c r="L99" s="213">
        <v>0</v>
      </c>
    </row>
    <row r="100" spans="1:13" outlineLevel="1" x14ac:dyDescent="0.45">
      <c r="B100" s="204"/>
      <c r="C100" s="182"/>
      <c r="D100" s="182"/>
      <c r="E100" s="182"/>
      <c r="F100" s="182"/>
      <c r="G100" s="182"/>
      <c r="H100" s="182"/>
      <c r="I100" s="182"/>
      <c r="J100" s="182"/>
      <c r="K100" s="182"/>
      <c r="L100" s="206"/>
    </row>
    <row r="101" spans="1:13" outlineLevel="1" x14ac:dyDescent="0.45">
      <c r="B101" s="214"/>
      <c r="C101" s="215"/>
      <c r="D101" s="215"/>
      <c r="E101" s="215"/>
      <c r="F101" s="215"/>
      <c r="G101" s="215"/>
      <c r="H101" s="215"/>
      <c r="I101" s="215"/>
      <c r="J101" s="215"/>
      <c r="K101" s="215"/>
      <c r="L101" s="216"/>
    </row>
    <row r="102" spans="1:13" outlineLevel="1" x14ac:dyDescent="0.45"/>
    <row r="105" spans="1:13" x14ac:dyDescent="0.45">
      <c r="A105" s="13" t="s">
        <v>807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outlineLevel="1" x14ac:dyDescent="0.45">
      <c r="B106" s="264" t="s">
        <v>472</v>
      </c>
      <c r="C106" s="2" t="s">
        <v>280</v>
      </c>
    </row>
    <row r="107" spans="1:13" outlineLevel="1" x14ac:dyDescent="0.45">
      <c r="B107" s="2"/>
      <c r="C107" s="17" t="s">
        <v>43</v>
      </c>
    </row>
    <row r="108" spans="1:13" outlineLevel="1" x14ac:dyDescent="0.45">
      <c r="B108" s="2" t="s">
        <v>104</v>
      </c>
      <c r="C108" s="2" t="s">
        <v>808</v>
      </c>
    </row>
    <row r="109" spans="1:13" outlineLevel="1" x14ac:dyDescent="0.45">
      <c r="B109" s="2"/>
      <c r="C109" s="94" t="s">
        <v>132</v>
      </c>
    </row>
    <row r="110" spans="1:13" outlineLevel="1" x14ac:dyDescent="0.45">
      <c r="B110" s="2"/>
      <c r="C110" t="s">
        <v>809</v>
      </c>
    </row>
    <row r="111" spans="1:13" outlineLevel="1" x14ac:dyDescent="0.45">
      <c r="B111" s="2"/>
      <c r="C111" s="94" t="s">
        <v>679</v>
      </c>
    </row>
    <row r="112" spans="1:13" outlineLevel="1" x14ac:dyDescent="0.45">
      <c r="B112" s="2"/>
      <c r="C112" t="s">
        <v>810</v>
      </c>
    </row>
    <row r="113" spans="2:12" outlineLevel="1" x14ac:dyDescent="0.45"/>
    <row r="114" spans="2:12" outlineLevel="1" x14ac:dyDescent="0.45">
      <c r="B114" s="2" t="s">
        <v>623</v>
      </c>
    </row>
    <row r="115" spans="2:12" outlineLevel="1" x14ac:dyDescent="0.45">
      <c r="C115" s="196" t="s">
        <v>160</v>
      </c>
      <c r="D115" s="12" t="s">
        <v>166</v>
      </c>
    </row>
    <row r="116" spans="2:12" outlineLevel="1" x14ac:dyDescent="0.45"/>
    <row r="117" spans="2:12" outlineLevel="1" x14ac:dyDescent="0.45">
      <c r="C117" s="2" t="s">
        <v>257</v>
      </c>
    </row>
    <row r="118" spans="2:12" outlineLevel="1" x14ac:dyDescent="0.45"/>
    <row r="119" spans="2:12" outlineLevel="1" x14ac:dyDescent="0.45"/>
    <row r="120" spans="2:12" outlineLevel="1" x14ac:dyDescent="0.45">
      <c r="B120" s="2" t="s">
        <v>258</v>
      </c>
      <c r="C120" s="1" t="str">
        <f>B106</f>
        <v>03-04</v>
      </c>
      <c r="D120" t="s">
        <v>815</v>
      </c>
    </row>
    <row r="121" spans="2:12" outlineLevel="1" x14ac:dyDescent="0.45"/>
    <row r="122" spans="2:12" outlineLevel="1" x14ac:dyDescent="0.45"/>
    <row r="123" spans="2:12" outlineLevel="1" x14ac:dyDescent="0.45"/>
    <row r="124" spans="2:12" outlineLevel="1" x14ac:dyDescent="0.45">
      <c r="B124" s="200" t="s">
        <v>254</v>
      </c>
      <c r="C124" s="201" t="s">
        <v>689</v>
      </c>
      <c r="D124" s="201"/>
      <c r="E124" s="201"/>
      <c r="F124" s="201"/>
      <c r="G124" s="201"/>
      <c r="H124" s="200" t="s">
        <v>166</v>
      </c>
      <c r="I124" s="202"/>
      <c r="J124" s="202">
        <v>150</v>
      </c>
      <c r="K124" s="201"/>
      <c r="L124" s="203"/>
    </row>
    <row r="125" spans="2:12" outlineLevel="1" x14ac:dyDescent="0.45">
      <c r="B125" s="204" t="s">
        <v>255</v>
      </c>
      <c r="C125" s="182" t="s">
        <v>690</v>
      </c>
      <c r="D125" s="182"/>
      <c r="E125" s="182"/>
      <c r="F125" s="182"/>
      <c r="G125" s="182"/>
      <c r="H125" s="204" t="s">
        <v>280</v>
      </c>
      <c r="I125" s="205"/>
      <c r="J125" s="267">
        <v>3000</v>
      </c>
      <c r="K125" s="249"/>
      <c r="L125" s="206"/>
    </row>
    <row r="126" spans="2:12" outlineLevel="1" x14ac:dyDescent="0.45">
      <c r="B126" s="204"/>
      <c r="C126" s="182"/>
      <c r="D126" s="182"/>
      <c r="E126" s="182"/>
      <c r="F126" s="182"/>
      <c r="G126" s="182"/>
      <c r="H126" s="204"/>
      <c r="I126" s="207"/>
      <c r="J126" s="182"/>
      <c r="K126" s="182"/>
      <c r="L126" s="206"/>
    </row>
    <row r="127" spans="2:12" outlineLevel="1" x14ac:dyDescent="0.45">
      <c r="B127" s="204"/>
      <c r="C127" s="182"/>
      <c r="D127" s="182"/>
      <c r="E127" s="182"/>
      <c r="F127" s="182"/>
      <c r="G127" s="182"/>
      <c r="H127" s="204"/>
      <c r="I127" s="207"/>
      <c r="J127" s="207"/>
      <c r="K127" s="182"/>
      <c r="L127" s="206"/>
    </row>
    <row r="128" spans="2:12" outlineLevel="1" x14ac:dyDescent="0.45">
      <c r="B128" s="204"/>
      <c r="C128" s="182"/>
      <c r="D128" s="182"/>
      <c r="E128" s="182"/>
      <c r="F128" s="182"/>
      <c r="G128" s="182"/>
      <c r="H128" s="204"/>
      <c r="I128" s="207"/>
      <c r="J128" s="182"/>
      <c r="K128" s="182"/>
      <c r="L128" s="206"/>
    </row>
    <row r="129" spans="2:12" outlineLevel="1" x14ac:dyDescent="0.45">
      <c r="B129" s="204"/>
      <c r="C129" s="207"/>
      <c r="D129" s="182"/>
      <c r="E129" s="182"/>
      <c r="F129" s="182"/>
      <c r="G129" s="182"/>
      <c r="H129" s="182" t="s">
        <v>814</v>
      </c>
      <c r="I129" s="182"/>
      <c r="J129" s="182"/>
      <c r="K129" s="182"/>
      <c r="L129" s="206"/>
    </row>
    <row r="130" spans="2:12" outlineLevel="1" x14ac:dyDescent="0.45">
      <c r="B130" s="204"/>
      <c r="C130" s="182"/>
      <c r="D130" s="208" t="s">
        <v>258</v>
      </c>
      <c r="E130" s="209">
        <v>45778</v>
      </c>
      <c r="F130" s="209">
        <v>45809</v>
      </c>
      <c r="G130" s="209">
        <v>45839</v>
      </c>
      <c r="H130" s="209">
        <v>45870</v>
      </c>
      <c r="I130" s="209">
        <v>45901</v>
      </c>
      <c r="J130" s="209">
        <v>45931</v>
      </c>
      <c r="K130" s="209">
        <v>45962</v>
      </c>
      <c r="L130" s="210">
        <v>45992</v>
      </c>
    </row>
    <row r="131" spans="2:12" outlineLevel="1" x14ac:dyDescent="0.45">
      <c r="B131" s="204"/>
      <c r="C131" s="182"/>
      <c r="D131" s="208"/>
      <c r="E131" s="209"/>
      <c r="F131" s="209"/>
      <c r="G131" s="209"/>
      <c r="H131" s="209"/>
      <c r="I131" s="209"/>
      <c r="J131" s="209"/>
      <c r="K131" s="209"/>
      <c r="L131" s="210"/>
    </row>
    <row r="132" spans="2:12" outlineLevel="1" x14ac:dyDescent="0.45">
      <c r="B132" s="266" t="str">
        <f>C115</f>
        <v>01-03</v>
      </c>
      <c r="C132" s="12" t="s">
        <v>166</v>
      </c>
      <c r="D132" s="212" t="e" cm="1">
        <f t="array" aca="1" ref="D132" ca="1">СУММ(E132:L132)</f>
        <v>#NAME?</v>
      </c>
      <c r="E132" s="212">
        <f>SUM(E133:E135)</f>
        <v>0</v>
      </c>
      <c r="F132" s="212">
        <f>SUM(F133:F135)</f>
        <v>11</v>
      </c>
      <c r="G132" s="212">
        <f t="shared" ref="G132:L132" si="0">SUM(G133:G135)</f>
        <v>29</v>
      </c>
      <c r="H132" s="212">
        <f t="shared" si="0"/>
        <v>43</v>
      </c>
      <c r="I132" s="212">
        <f t="shared" si="0"/>
        <v>35</v>
      </c>
      <c r="J132" s="212">
        <f t="shared" si="0"/>
        <v>32</v>
      </c>
      <c r="K132" s="212">
        <f t="shared" si="0"/>
        <v>0</v>
      </c>
      <c r="L132" s="212">
        <f t="shared" si="0"/>
        <v>0</v>
      </c>
    </row>
    <row r="133" spans="2:12" outlineLevel="1" x14ac:dyDescent="0.45">
      <c r="B133" s="266"/>
      <c r="C133" s="182" t="s">
        <v>812</v>
      </c>
      <c r="D133" s="208"/>
      <c r="E133" s="212"/>
      <c r="F133" s="212">
        <v>10</v>
      </c>
      <c r="G133" s="212">
        <v>20</v>
      </c>
      <c r="H133" s="212">
        <v>33</v>
      </c>
      <c r="I133" s="212">
        <v>30</v>
      </c>
      <c r="J133" s="212">
        <v>23</v>
      </c>
      <c r="K133" s="212"/>
      <c r="L133" s="213"/>
    </row>
    <row r="134" spans="2:12" outlineLevel="1" x14ac:dyDescent="0.45">
      <c r="B134" s="266"/>
      <c r="C134" s="182" t="s">
        <v>52</v>
      </c>
      <c r="D134" s="208"/>
      <c r="E134" s="212"/>
      <c r="F134" s="212">
        <v>0</v>
      </c>
      <c r="G134" s="212">
        <v>5</v>
      </c>
      <c r="H134" s="212">
        <v>5</v>
      </c>
      <c r="I134" s="212">
        <v>0</v>
      </c>
      <c r="J134" s="212">
        <v>4</v>
      </c>
      <c r="K134" s="212"/>
      <c r="L134" s="213"/>
    </row>
    <row r="135" spans="2:12" outlineLevel="1" x14ac:dyDescent="0.45">
      <c r="B135" s="266"/>
      <c r="C135" s="182" t="s">
        <v>813</v>
      </c>
      <c r="D135" s="208"/>
      <c r="E135" s="212"/>
      <c r="F135" s="212">
        <v>1</v>
      </c>
      <c r="G135" s="212">
        <v>4</v>
      </c>
      <c r="H135" s="212">
        <v>5</v>
      </c>
      <c r="I135" s="212">
        <v>5</v>
      </c>
      <c r="J135" s="212">
        <v>5</v>
      </c>
      <c r="K135" s="212"/>
      <c r="L135" s="213"/>
    </row>
    <row r="136" spans="2:12" outlineLevel="1" x14ac:dyDescent="0.45">
      <c r="B136" s="204"/>
      <c r="C136" s="182"/>
      <c r="D136" s="208"/>
      <c r="E136" s="209"/>
      <c r="F136" s="209"/>
      <c r="G136" s="209"/>
      <c r="H136" s="209"/>
      <c r="I136" s="209"/>
      <c r="J136" s="209"/>
      <c r="K136" s="209"/>
      <c r="L136" s="210"/>
    </row>
    <row r="137" spans="2:12" outlineLevel="1" x14ac:dyDescent="0.45">
      <c r="B137" s="265" t="str">
        <f>B106</f>
        <v>03-04</v>
      </c>
      <c r="C137" s="12" t="s">
        <v>280</v>
      </c>
      <c r="D137" s="212" t="e">
        <f ca="1">СУММ(E137:L137)</f>
        <v>#NAME?</v>
      </c>
      <c r="E137" s="212">
        <v>0</v>
      </c>
      <c r="F137" s="212">
        <v>33000</v>
      </c>
      <c r="G137" s="212">
        <v>87000</v>
      </c>
      <c r="H137" s="212">
        <v>330000</v>
      </c>
      <c r="I137" s="212">
        <v>105000</v>
      </c>
      <c r="J137" s="212">
        <v>96000</v>
      </c>
      <c r="K137" s="212">
        <f>K132*$J$125</f>
        <v>0</v>
      </c>
      <c r="L137" s="212">
        <f>L132*$J$125</f>
        <v>0</v>
      </c>
    </row>
    <row r="138" spans="2:12" outlineLevel="1" x14ac:dyDescent="0.45">
      <c r="B138" s="204"/>
      <c r="C138" s="182"/>
      <c r="D138" s="182"/>
      <c r="E138" s="182"/>
      <c r="F138" s="182"/>
      <c r="G138" s="182"/>
      <c r="H138" s="182"/>
      <c r="I138" s="182"/>
      <c r="J138" s="182"/>
      <c r="K138" s="182"/>
      <c r="L138" s="206"/>
    </row>
    <row r="139" spans="2:12" outlineLevel="1" x14ac:dyDescent="0.45">
      <c r="B139" s="214"/>
      <c r="C139" s="215"/>
      <c r="D139" s="215"/>
      <c r="E139" s="215"/>
      <c r="F139" s="215"/>
      <c r="G139" s="215"/>
      <c r="H139" s="215"/>
      <c r="I139" s="215"/>
      <c r="J139" s="215"/>
      <c r="K139" s="215"/>
      <c r="L139" s="216"/>
    </row>
    <row r="140" spans="2:12" outlineLevel="1" x14ac:dyDescent="0.45"/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3E04D-1707-46A5-84F4-A1E96D6CCD63}">
  <sheetPr>
    <tabColor rgb="FFFF0000"/>
  </sheetPr>
  <dimension ref="B4:S9"/>
  <sheetViews>
    <sheetView zoomScale="70" zoomScaleNormal="70" workbookViewId="0">
      <selection activeCell="G4" sqref="B4:G4"/>
    </sheetView>
  </sheetViews>
  <sheetFormatPr defaultColWidth="8.796875" defaultRowHeight="14.25" x14ac:dyDescent="0.45"/>
  <cols>
    <col min="1" max="1" width="5.46484375" customWidth="1"/>
    <col min="2" max="2" width="8.796875" customWidth="1"/>
    <col min="3" max="3" width="22.1328125" customWidth="1"/>
    <col min="4" max="4" width="11" customWidth="1"/>
    <col min="5" max="5" width="19.1328125" customWidth="1"/>
    <col min="7" max="7" width="22.53125" customWidth="1"/>
    <col min="8" max="8" width="8" customWidth="1"/>
    <col min="9" max="9" width="56.1328125" customWidth="1"/>
    <col min="10" max="10" width="28" customWidth="1"/>
    <col min="19" max="19" width="51.6640625" style="4" customWidth="1"/>
  </cols>
  <sheetData>
    <row r="4" spans="2:13" x14ac:dyDescent="0.45">
      <c r="B4" s="336" t="s">
        <v>825</v>
      </c>
      <c r="C4" s="336" t="s">
        <v>44</v>
      </c>
      <c r="D4" s="336" t="s">
        <v>825</v>
      </c>
      <c r="E4" s="336" t="s">
        <v>45</v>
      </c>
      <c r="F4" s="336" t="s">
        <v>835</v>
      </c>
      <c r="G4" s="336" t="s">
        <v>258</v>
      </c>
      <c r="H4" s="13" t="s">
        <v>362</v>
      </c>
      <c r="I4" s="13" t="s">
        <v>678</v>
      </c>
      <c r="J4" s="2" t="s">
        <v>91</v>
      </c>
      <c r="K4" s="2" t="s">
        <v>501</v>
      </c>
      <c r="L4" s="2" t="s">
        <v>934</v>
      </c>
      <c r="M4" s="2" t="s">
        <v>935</v>
      </c>
    </row>
    <row r="5" spans="2:13" ht="99.75" x14ac:dyDescent="0.45">
      <c r="B5" s="119" t="s">
        <v>473</v>
      </c>
      <c r="C5" s="9" t="str">
        <f>VLOOKUP(B5,Показатели!$A:$M,7,0)</f>
        <v>Выкуп зу / смена ври</v>
      </c>
      <c r="F5" t="s">
        <v>40</v>
      </c>
      <c r="G5" s="12" t="s">
        <v>507</v>
      </c>
      <c r="H5" t="s">
        <v>905</v>
      </c>
      <c r="I5" s="58" t="s">
        <v>772</v>
      </c>
    </row>
    <row r="6" spans="2:13" ht="42.75" x14ac:dyDescent="0.45">
      <c r="B6" s="119" t="s">
        <v>474</v>
      </c>
      <c r="C6" s="9" t="str">
        <f>VLOOKUP(B6,Показатели!$A:$M,7,0)</f>
        <v>Аренда / налог зу</v>
      </c>
      <c r="F6" t="s">
        <v>40</v>
      </c>
      <c r="G6" s="12" t="s">
        <v>908</v>
      </c>
      <c r="H6" t="s">
        <v>905</v>
      </c>
      <c r="I6" s="4" t="s">
        <v>924</v>
      </c>
    </row>
    <row r="7" spans="2:13" x14ac:dyDescent="0.45">
      <c r="B7" s="119" t="s">
        <v>475</v>
      </c>
      <c r="C7" s="9" t="str">
        <f>VLOOKUP(B7,Показатели!$A:$M,7,0)</f>
        <v>Прочие расходы по зу</v>
      </c>
      <c r="F7" t="s">
        <v>40</v>
      </c>
      <c r="G7" s="12" t="s">
        <v>507</v>
      </c>
      <c r="H7" t="s">
        <v>905</v>
      </c>
      <c r="I7" t="s">
        <v>852</v>
      </c>
    </row>
    <row r="8" spans="2:13" x14ac:dyDescent="0.45">
      <c r="C8" s="12"/>
    </row>
    <row r="9" spans="2:13" x14ac:dyDescent="0.45">
      <c r="C9" s="1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4C69E-37C2-47FA-805A-DEEC2AAF3A81}">
  <sheetPr>
    <tabColor rgb="FFFF0000"/>
  </sheetPr>
  <dimension ref="B4:S20"/>
  <sheetViews>
    <sheetView zoomScale="70" zoomScaleNormal="70" workbookViewId="0">
      <selection activeCell="B4" sqref="B4:G4"/>
    </sheetView>
  </sheetViews>
  <sheetFormatPr defaultColWidth="8.796875" defaultRowHeight="14.25" x14ac:dyDescent="0.45"/>
  <cols>
    <col min="1" max="1" width="5.46484375" customWidth="1"/>
    <col min="2" max="2" width="8.796875" customWidth="1"/>
    <col min="3" max="3" width="22.1328125" customWidth="1"/>
    <col min="4" max="4" width="11" customWidth="1"/>
    <col min="5" max="5" width="19.1328125" customWidth="1"/>
    <col min="7" max="7" width="22.53125" customWidth="1"/>
    <col min="8" max="8" width="8" customWidth="1"/>
    <col min="9" max="9" width="56.1328125" customWidth="1"/>
    <col min="10" max="10" width="28" customWidth="1"/>
    <col min="19" max="19" width="51.6640625" style="4" customWidth="1"/>
  </cols>
  <sheetData>
    <row r="4" spans="2:13" x14ac:dyDescent="0.45">
      <c r="B4" s="336" t="s">
        <v>825</v>
      </c>
      <c r="C4" s="336" t="s">
        <v>44</v>
      </c>
      <c r="D4" s="336" t="s">
        <v>825</v>
      </c>
      <c r="E4" s="336" t="s">
        <v>45</v>
      </c>
      <c r="F4" s="336" t="s">
        <v>835</v>
      </c>
      <c r="G4" s="336" t="s">
        <v>258</v>
      </c>
      <c r="H4" s="13" t="s">
        <v>362</v>
      </c>
      <c r="I4" s="13" t="s">
        <v>678</v>
      </c>
      <c r="J4" s="2" t="s">
        <v>91</v>
      </c>
      <c r="K4" s="2" t="s">
        <v>501</v>
      </c>
      <c r="L4" s="2" t="s">
        <v>934</v>
      </c>
      <c r="M4" s="2" t="s">
        <v>935</v>
      </c>
    </row>
    <row r="5" spans="2:13" ht="28.5" x14ac:dyDescent="0.45">
      <c r="B5" s="119" t="s">
        <v>476</v>
      </c>
      <c r="C5" s="9" t="str">
        <f>VLOOKUP(B5,Показатели!$A:$M,7,0)</f>
        <v>Проектирование (К+П)</v>
      </c>
      <c r="G5" s="12" t="s">
        <v>909</v>
      </c>
      <c r="H5" t="s">
        <v>905</v>
      </c>
      <c r="I5" s="335" t="s">
        <v>925</v>
      </c>
      <c r="J5" t="s">
        <v>932</v>
      </c>
    </row>
    <row r="6" spans="2:13" ht="28.5" x14ac:dyDescent="0.45">
      <c r="B6" s="119" t="s">
        <v>477</v>
      </c>
      <c r="C6" s="9" t="str">
        <f>VLOOKUP(B6,Показатели!$A:$M,7,0)</f>
        <v>Проектирование (РД)</v>
      </c>
      <c r="G6" s="12" t="s">
        <v>912</v>
      </c>
      <c r="H6" t="s">
        <v>905</v>
      </c>
      <c r="I6" s="335" t="s">
        <v>925</v>
      </c>
      <c r="J6" t="s">
        <v>932</v>
      </c>
    </row>
    <row r="7" spans="2:13" ht="28.5" x14ac:dyDescent="0.45">
      <c r="B7" s="119" t="s">
        <v>478</v>
      </c>
      <c r="C7" s="9" t="str">
        <f>VLOOKUP(B7,Показатели!$A:$M,7,0)</f>
        <v>Согласования и изыскания</v>
      </c>
      <c r="G7" s="12" t="s">
        <v>913</v>
      </c>
      <c r="H7" t="s">
        <v>905</v>
      </c>
      <c r="I7" t="s">
        <v>852</v>
      </c>
    </row>
    <row r="8" spans="2:13" ht="28.5" x14ac:dyDescent="0.45">
      <c r="B8" s="119" t="s">
        <v>479</v>
      </c>
      <c r="C8" s="9" t="str">
        <f>VLOOKUP(B8,Показатели!$A:$M,7,0)</f>
        <v>Подготовительные СМР</v>
      </c>
      <c r="F8" t="s">
        <v>40</v>
      </c>
      <c r="G8" s="12" t="s">
        <v>914</v>
      </c>
      <c r="H8" t="s">
        <v>905</v>
      </c>
      <c r="I8" s="335" t="s">
        <v>925</v>
      </c>
      <c r="J8" t="s">
        <v>932</v>
      </c>
    </row>
    <row r="9" spans="2:13" ht="28.5" x14ac:dyDescent="0.45">
      <c r="B9" s="119" t="s">
        <v>480</v>
      </c>
      <c r="C9" s="9" t="str">
        <f>VLOOKUP(B9,Показатели!$A:$M,7,0)</f>
        <v>СМР</v>
      </c>
      <c r="D9" s="9"/>
      <c r="E9" s="18" t="s">
        <v>129</v>
      </c>
      <c r="F9" t="s">
        <v>40</v>
      </c>
      <c r="G9" s="12" t="s">
        <v>910</v>
      </c>
      <c r="H9" t="s">
        <v>905</v>
      </c>
      <c r="I9" s="335" t="s">
        <v>925</v>
      </c>
      <c r="J9" t="s">
        <v>932</v>
      </c>
    </row>
    <row r="10" spans="2:13" ht="28.5" x14ac:dyDescent="0.45">
      <c r="B10" s="119" t="s">
        <v>481</v>
      </c>
      <c r="C10" s="9">
        <f>VLOOKUP(B10,Показатели!$A:$M,7,0)</f>
        <v>0</v>
      </c>
      <c r="D10" s="193" t="s">
        <v>19</v>
      </c>
      <c r="E10" s="6" t="s">
        <v>162</v>
      </c>
      <c r="F10" t="s">
        <v>40</v>
      </c>
      <c r="G10" s="12" t="s">
        <v>910</v>
      </c>
      <c r="H10" t="s">
        <v>905</v>
      </c>
      <c r="I10" s="335" t="s">
        <v>925</v>
      </c>
      <c r="J10" t="s">
        <v>932</v>
      </c>
    </row>
    <row r="11" spans="2:13" ht="28.5" x14ac:dyDescent="0.45">
      <c r="B11" s="119" t="s">
        <v>481</v>
      </c>
      <c r="C11" s="9">
        <f>VLOOKUP(B11,Показатели!$A:$M,7,0)</f>
        <v>0</v>
      </c>
      <c r="D11" s="193" t="s">
        <v>20</v>
      </c>
      <c r="E11" s="6" t="s">
        <v>14</v>
      </c>
      <c r="F11" t="s">
        <v>40</v>
      </c>
      <c r="G11" s="12" t="s">
        <v>910</v>
      </c>
      <c r="H11" t="s">
        <v>905</v>
      </c>
      <c r="I11" s="335" t="s">
        <v>925</v>
      </c>
      <c r="J11" t="s">
        <v>932</v>
      </c>
    </row>
    <row r="12" spans="2:13" ht="28.5" x14ac:dyDescent="0.45">
      <c r="B12" s="119" t="s">
        <v>481</v>
      </c>
      <c r="C12" s="9">
        <f>VLOOKUP(B12,Показатели!$A:$M,7,0)</f>
        <v>0</v>
      </c>
      <c r="D12" s="193" t="s">
        <v>161</v>
      </c>
      <c r="E12" s="6"/>
      <c r="F12" t="s">
        <v>40</v>
      </c>
      <c r="G12" s="12" t="s">
        <v>910</v>
      </c>
      <c r="H12" t="s">
        <v>905</v>
      </c>
      <c r="I12" s="335" t="s">
        <v>925</v>
      </c>
      <c r="J12" t="s">
        <v>932</v>
      </c>
    </row>
    <row r="13" spans="2:13" ht="28.5" x14ac:dyDescent="0.45">
      <c r="B13" s="119" t="s">
        <v>482</v>
      </c>
      <c r="C13" s="9" t="str">
        <f>VLOOKUP(B13,Показатели!$A:$M,7,0)</f>
        <v>СМР отделка</v>
      </c>
      <c r="D13" s="8"/>
      <c r="E13" s="6"/>
      <c r="G13" s="12" t="s">
        <v>915</v>
      </c>
      <c r="H13" t="s">
        <v>905</v>
      </c>
      <c r="I13" s="335" t="s">
        <v>925</v>
      </c>
      <c r="J13" t="s">
        <v>932</v>
      </c>
    </row>
    <row r="14" spans="2:13" ht="28.5" x14ac:dyDescent="0.45">
      <c r="B14" s="119" t="s">
        <v>483</v>
      </c>
      <c r="C14" s="9" t="str">
        <f>VLOOKUP(B14,Показатели!$A:$M,7,0)</f>
        <v>Благоустройство общее</v>
      </c>
      <c r="D14" s="8"/>
      <c r="E14" s="6"/>
      <c r="F14" t="s">
        <v>40</v>
      </c>
      <c r="G14" s="12" t="s">
        <v>916</v>
      </c>
      <c r="H14" t="s">
        <v>905</v>
      </c>
      <c r="I14" s="335" t="s">
        <v>925</v>
      </c>
      <c r="J14" t="s">
        <v>932</v>
      </c>
    </row>
    <row r="15" spans="2:13" ht="28.5" x14ac:dyDescent="0.45">
      <c r="B15" s="119" t="s">
        <v>484</v>
      </c>
      <c r="C15" s="9" t="str">
        <f>VLOOKUP(B15,Показатели!$A:$M,7,0)</f>
        <v>СМР дорожной сети</v>
      </c>
      <c r="D15" s="8"/>
      <c r="E15" s="6"/>
      <c r="F15" t="s">
        <v>40</v>
      </c>
      <c r="G15" s="4" t="s">
        <v>917</v>
      </c>
      <c r="H15" t="s">
        <v>905</v>
      </c>
      <c r="I15" s="335" t="s">
        <v>925</v>
      </c>
      <c r="J15" t="s">
        <v>932</v>
      </c>
    </row>
    <row r="16" spans="2:13" ht="28.5" x14ac:dyDescent="0.45">
      <c r="B16" s="119" t="s">
        <v>485</v>
      </c>
      <c r="C16" s="9" t="str">
        <f>VLOOKUP(B16,Показатели!$A:$M,7,0)</f>
        <v>СМР прочих обьектов</v>
      </c>
      <c r="D16" s="8"/>
      <c r="E16" s="6"/>
      <c r="F16" t="s">
        <v>40</v>
      </c>
      <c r="G16" s="4" t="s">
        <v>918</v>
      </c>
      <c r="H16" t="s">
        <v>905</v>
      </c>
      <c r="I16" s="335" t="s">
        <v>925</v>
      </c>
      <c r="J16" t="s">
        <v>932</v>
      </c>
    </row>
    <row r="17" spans="2:10" ht="28.5" x14ac:dyDescent="0.45">
      <c r="B17" s="119" t="s">
        <v>486</v>
      </c>
      <c r="C17" s="9" t="str">
        <f>VLOOKUP(B17,Показатели!$A:$M,7,0)</f>
        <v>Содержание площадки</v>
      </c>
      <c r="D17" s="8"/>
      <c r="E17" s="6"/>
      <c r="F17" t="s">
        <v>40</v>
      </c>
      <c r="G17" s="4" t="s">
        <v>919</v>
      </c>
      <c r="H17" t="s">
        <v>905</v>
      </c>
      <c r="I17" s="335" t="s">
        <v>925</v>
      </c>
      <c r="J17" t="s">
        <v>932</v>
      </c>
    </row>
    <row r="18" spans="2:10" ht="28.5" x14ac:dyDescent="0.45">
      <c r="B18" s="119" t="s">
        <v>487</v>
      </c>
      <c r="C18" s="9" t="str">
        <f>VLOOKUP(B18,Показатели!$A:$M,7,0)</f>
        <v>СМР сетей и тех присоединение</v>
      </c>
      <c r="D18" s="8"/>
      <c r="E18" s="6"/>
      <c r="F18" t="s">
        <v>40</v>
      </c>
      <c r="G18" s="4" t="s">
        <v>920</v>
      </c>
      <c r="H18" t="s">
        <v>905</v>
      </c>
      <c r="I18" s="335" t="s">
        <v>925</v>
      </c>
      <c r="J18" t="s">
        <v>932</v>
      </c>
    </row>
    <row r="19" spans="2:10" ht="28.5" x14ac:dyDescent="0.45">
      <c r="B19" s="119" t="s">
        <v>488</v>
      </c>
      <c r="C19" s="9" t="str">
        <f>VLOOKUP(B19,Показатели!$A:$M,7,0)</f>
        <v>Мониторинг</v>
      </c>
      <c r="D19" s="8"/>
      <c r="E19" s="6"/>
      <c r="F19" t="s">
        <v>40</v>
      </c>
      <c r="G19" s="4" t="s">
        <v>921</v>
      </c>
      <c r="H19" t="s">
        <v>905</v>
      </c>
      <c r="I19" s="335" t="s">
        <v>925</v>
      </c>
      <c r="J19" t="s">
        <v>932</v>
      </c>
    </row>
    <row r="20" spans="2:10" x14ac:dyDescent="0.45">
      <c r="C20" s="1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51903-45C5-41FE-8F15-260B6D59E7B8}">
  <sheetPr>
    <tabColor rgb="FFFF0000"/>
  </sheetPr>
  <dimension ref="B4:S7"/>
  <sheetViews>
    <sheetView zoomScale="70" zoomScaleNormal="70" workbookViewId="0">
      <selection activeCell="G4" sqref="B4:G4"/>
    </sheetView>
  </sheetViews>
  <sheetFormatPr defaultColWidth="8.796875" defaultRowHeight="14.25" x14ac:dyDescent="0.45"/>
  <cols>
    <col min="1" max="1" width="5.46484375" customWidth="1"/>
    <col min="2" max="2" width="8.796875" customWidth="1"/>
    <col min="3" max="3" width="32.46484375" customWidth="1"/>
    <col min="4" max="4" width="13.796875" customWidth="1"/>
    <col min="8" max="8" width="8" customWidth="1"/>
    <col min="9" max="9" width="56.1328125" customWidth="1"/>
    <col min="10" max="10" width="28" customWidth="1"/>
    <col min="11" max="11" width="21.9296875" customWidth="1"/>
    <col min="12" max="12" width="15.46484375" customWidth="1"/>
    <col min="13" max="13" width="24.53125" customWidth="1"/>
    <col min="19" max="19" width="51.6640625" style="4" customWidth="1"/>
  </cols>
  <sheetData>
    <row r="4" spans="2:13" x14ac:dyDescent="0.45">
      <c r="B4" s="336" t="s">
        <v>825</v>
      </c>
      <c r="C4" s="336" t="s">
        <v>44</v>
      </c>
      <c r="D4" s="336" t="s">
        <v>825</v>
      </c>
      <c r="E4" s="336" t="s">
        <v>45</v>
      </c>
      <c r="F4" s="336" t="s">
        <v>835</v>
      </c>
      <c r="G4" s="336" t="s">
        <v>258</v>
      </c>
      <c r="H4" s="13" t="s">
        <v>362</v>
      </c>
      <c r="I4" s="13" t="s">
        <v>678</v>
      </c>
      <c r="J4" s="2" t="s">
        <v>91</v>
      </c>
      <c r="K4" s="2" t="s">
        <v>501</v>
      </c>
      <c r="L4" s="2" t="s">
        <v>934</v>
      </c>
      <c r="M4" s="2" t="s">
        <v>935</v>
      </c>
    </row>
    <row r="5" spans="2:13" ht="28.5" x14ac:dyDescent="0.45">
      <c r="B5" s="119" t="s">
        <v>489</v>
      </c>
      <c r="C5" s="9" t="str">
        <f>VLOOKUP(B5,Показатели!$A:$M,7,0)</f>
        <v>Управление проектом</v>
      </c>
      <c r="D5" s="8"/>
      <c r="E5" s="6"/>
      <c r="F5" t="s">
        <v>40</v>
      </c>
      <c r="G5" s="4" t="s">
        <v>922</v>
      </c>
      <c r="H5" t="s">
        <v>905</v>
      </c>
      <c r="I5" s="335" t="s">
        <v>925</v>
      </c>
      <c r="J5" t="s">
        <v>932</v>
      </c>
    </row>
    <row r="6" spans="2:13" ht="28.5" x14ac:dyDescent="0.45">
      <c r="B6" s="119" t="s">
        <v>490</v>
      </c>
      <c r="C6" s="9" t="str">
        <f>VLOOKUP(B6,Показатели!$A:$M,7,0)</f>
        <v>Непредвиденные расходы</v>
      </c>
      <c r="D6" s="8"/>
      <c r="E6" s="6"/>
      <c r="F6" t="s">
        <v>40</v>
      </c>
      <c r="G6" s="4" t="s">
        <v>923</v>
      </c>
      <c r="H6" t="s">
        <v>905</v>
      </c>
      <c r="I6" s="335" t="s">
        <v>925</v>
      </c>
      <c r="J6" t="s">
        <v>932</v>
      </c>
    </row>
    <row r="7" spans="2:13" ht="42.75" x14ac:dyDescent="0.45">
      <c r="B7" s="119" t="s">
        <v>491</v>
      </c>
      <c r="C7" s="9" t="str">
        <f>VLOOKUP(B7,Показатели!$A:$M,7,0)</f>
        <v>Прочие АХР</v>
      </c>
      <c r="F7" t="s">
        <v>40</v>
      </c>
      <c r="G7" s="12" t="s">
        <v>911</v>
      </c>
      <c r="H7" t="s">
        <v>905</v>
      </c>
      <c r="I7" s="4" t="s">
        <v>933</v>
      </c>
      <c r="J7" t="s">
        <v>932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30B34-4D51-4381-9815-F31C4F808D4E}">
  <dimension ref="B3:E4"/>
  <sheetViews>
    <sheetView workbookViewId="0">
      <selection activeCell="B4" sqref="B4"/>
    </sheetView>
  </sheetViews>
  <sheetFormatPr defaultColWidth="8.796875" defaultRowHeight="14.25" x14ac:dyDescent="0.45"/>
  <sheetData>
    <row r="3" spans="2:5" x14ac:dyDescent="0.45">
      <c r="C3" t="s">
        <v>121</v>
      </c>
      <c r="D3" t="s">
        <v>123</v>
      </c>
    </row>
    <row r="4" spans="2:5" x14ac:dyDescent="0.45">
      <c r="B4" t="s">
        <v>122</v>
      </c>
      <c r="D4" t="s">
        <v>124</v>
      </c>
      <c r="E4" t="s">
        <v>125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155E-919E-443E-96A2-6CCF83844718}">
  <dimension ref="B2:F4"/>
  <sheetViews>
    <sheetView workbookViewId="0">
      <selection activeCell="K33" sqref="K33"/>
    </sheetView>
  </sheetViews>
  <sheetFormatPr defaultColWidth="8.796875" defaultRowHeight="14.25" x14ac:dyDescent="0.45"/>
  <cols>
    <col min="1" max="1" width="7.6640625" customWidth="1"/>
    <col min="2" max="2" width="34.6640625" customWidth="1"/>
    <col min="4" max="4" width="14.796875" customWidth="1"/>
    <col min="5" max="5" width="12.33203125" customWidth="1"/>
  </cols>
  <sheetData>
    <row r="2" spans="2:6" x14ac:dyDescent="0.45">
      <c r="B2" s="13" t="s">
        <v>86</v>
      </c>
    </row>
    <row r="4" spans="2:6" x14ac:dyDescent="0.45">
      <c r="B4" t="s">
        <v>87</v>
      </c>
      <c r="C4" t="s">
        <v>88</v>
      </c>
      <c r="D4" t="s">
        <v>89</v>
      </c>
      <c r="E4" t="s">
        <v>90</v>
      </c>
      <c r="F4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Тек</vt:lpstr>
      <vt:lpstr>Этапы</vt:lpstr>
      <vt:lpstr>ИТ арх</vt:lpstr>
      <vt:lpstr>Структура</vt:lpstr>
      <vt:lpstr>Диз_Ф1</vt:lpstr>
      <vt:lpstr>Поток</vt:lpstr>
      <vt:lpstr>Роли</vt:lpstr>
      <vt:lpstr>Концепт</vt:lpstr>
      <vt:lpstr>ПФ</vt:lpstr>
      <vt:lpstr>Схема</vt:lpstr>
      <vt:lpstr>ГПок</vt:lpstr>
      <vt:lpstr>Показатели</vt:lpstr>
      <vt:lpstr>Справ</vt:lpstr>
      <vt:lpstr>ВидДеят</vt:lpstr>
      <vt:lpstr>ВидОН</vt:lpstr>
      <vt:lpstr>ВидСмрОН</vt:lpstr>
      <vt:lpstr>Участки</vt:lpstr>
      <vt:lpstr>Регион - Город</vt:lpstr>
      <vt:lpstr>РАСЧЕТЫ</vt:lpstr>
      <vt:lpstr>Норматив</vt:lpstr>
      <vt:lpstr>Ф0</vt:lpstr>
      <vt:lpstr>Ф0БК</vt:lpstr>
      <vt:lpstr>Ф1</vt:lpstr>
      <vt:lpstr>Ф1БК _Л</vt:lpstr>
      <vt:lpstr>Ф1БК</vt:lpstr>
      <vt:lpstr>Ф3</vt:lpstr>
      <vt:lpstr>Ф3БК 03</vt:lpstr>
      <vt:lpstr>Ф4</vt:lpstr>
      <vt:lpstr>Ф5</vt:lpstr>
      <vt:lpstr>Ф6</vt:lpstr>
      <vt:lpstr>Срав</vt:lpstr>
      <vt:lpstr>Контроль 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 Leonid</dc:creator>
  <cp:lastModifiedBy>Leonid Leonid</cp:lastModifiedBy>
  <dcterms:created xsi:type="dcterms:W3CDTF">2025-11-10T11:15:25Z</dcterms:created>
  <dcterms:modified xsi:type="dcterms:W3CDTF">2026-01-05T11:17:03Z</dcterms:modified>
</cp:coreProperties>
</file>